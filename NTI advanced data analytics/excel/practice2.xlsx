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BecomingDataScientist\NTI advanced data analytics\excel\"/>
    </mc:Choice>
  </mc:AlternateContent>
  <xr:revisionPtr revIDLastSave="0" documentId="8_{3C3877E1-944B-4BA0-8224-6263F77AEEFC}" xr6:coauthVersionLast="47" xr6:coauthVersionMax="47" xr10:uidLastSave="{00000000-0000-0000-0000-000000000000}"/>
  <bookViews>
    <workbookView xWindow="-108" yWindow="-108" windowWidth="23256" windowHeight="12456" xr2:uid="{76C938ED-B203-44D6-A9D7-CE3C4B4C6840}"/>
  </bookViews>
  <sheets>
    <sheet name="Practice" sheetId="1" r:id="rId1"/>
  </sheets>
  <definedNames>
    <definedName name="ee" localSheetId="0" hidden="1">{"FirstQ",#N/A,FALSE,"Budget2000";"SecondQ",#N/A,FALSE,"Budget2000";"Summary",#N/A,FALSE,"Budget2000"}</definedName>
    <definedName name="ee" hidden="1">{"FirstQ",#N/A,FALSE,"Budget2000";"SecondQ",#N/A,FALSE,"Budget2000";"Summary",#N/A,FALSE,"Budget2000"}</definedName>
    <definedName name="k" localSheetId="0" hidden="1">{"FirstQ",#N/A,FALSE,"Budget2000";"SecondQ",#N/A,FALSE,"Budget2000";"Summary",#N/A,FALSE,"Budget2000"}</definedName>
    <definedName name="k" hidden="1">{"FirstQ",#N/A,FALSE,"Budget2000";"SecondQ",#N/A,FALSE,"Budget2000";"Summary",#N/A,FALSE,"Budget2000"}</definedName>
    <definedName name="q" localSheetId="0" hidden="1">{"FirstQ",#N/A,FALSE,"Budget2000";"SecondQ",#N/A,FALSE,"Budget2000";"Summary",#N/A,FALSE,"Budget2000"}</definedName>
    <definedName name="q" hidden="1">{"FirstQ",#N/A,FALSE,"Budget2000";"SecondQ",#N/A,FALSE,"Budget2000";"Summary",#N/A,FALSE,"Budget2000"}</definedName>
    <definedName name="rr" localSheetId="0" hidden="1">{"FirstQ",#N/A,FALSE,"Budget2000";"SecondQ",#N/A,FALSE,"Budget2000"}</definedName>
    <definedName name="rr" hidden="1">{"FirstQ",#N/A,FALSE,"Budget2000";"SecondQ",#N/A,FALSE,"Budget2000"}</definedName>
    <definedName name="rrr" localSheetId="0" hidden="1">{"AllDetail",#N/A,FALSE,"Research Budget";"1stQuarter",#N/A,FALSE,"Research Budget";"2nd Quarter",#N/A,FALSE,"Research Budget";"Summary",#N/A,FALSE,"Research Budget"}</definedName>
    <definedName name="rrr" hidden="1">{"AllDetail",#N/A,FALSE,"Research Budget";"1stQuarter",#N/A,FALSE,"Research Budget";"2nd Quarter",#N/A,FALSE,"Research Budget";"Summary",#N/A,FALSE,"Research Budget"}</definedName>
    <definedName name="wrn.AllData." localSheetId="0" hidden="1">{"FirstQ",#N/A,FALSE,"Budget2000";"SecondQ",#N/A,FALSE,"Budget2000";"Summary",#N/A,FALSE,"Budget2000"}</definedName>
    <definedName name="wrn.AllData." hidden="1">{"FirstQ",#N/A,FALSE,"Budget2000";"SecondQ",#N/A,FALSE,"Budget2000";"Summary",#N/A,FALSE,"Budget2000"}</definedName>
    <definedName name="wrn.FirstHalf." localSheetId="0" hidden="1">{"FirstQ",#N/A,FALSE,"Budget2000";"SecondQ",#N/A,FALSE,"Budget2000"}</definedName>
    <definedName name="wrn.FirstHalf." hidden="1">{"FirstQ",#N/A,FALSE,"Budget2000";"SecondQ",#N/A,FALSE,"Budget2000"}</definedName>
    <definedName name="x" localSheetId="0" hidden="1">{"FirstQ",#N/A,FALSE,"Budget2000";"SecondQ",#N/A,FALSE,"Budget2000";"Summary",#N/A,FALSE,"Budget2000"}</definedName>
    <definedName name="x" hidden="1">{"FirstQ",#N/A,FALSE,"Budget2000";"SecondQ",#N/A,FALSE,"Budget2000";"Summary",#N/A,FALSE,"Budget2000"}</definedName>
    <definedName name="xxxxxxxxxxxxxxxxxxx" localSheetId="0" hidden="1">{"AllDetail",#N/A,FALSE,"Research Budget";"1stQuarter",#N/A,FALSE,"Research Budget";"2nd Quarter",#N/A,FALSE,"Research Budget";"Summary",#N/A,FALSE,"Research Budget"}</definedName>
    <definedName name="xxxxxxxxxxxxxxxxxxx" hidden="1">{"AllDetail",#N/A,FALSE,"Research Budget";"1stQuarter",#N/A,FALSE,"Research Budget";"2nd Quarter",#N/A,FALSE,"Research Budget";"Summary",#N/A,FALSE,"Research Budget"}</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5" i="1" l="1" a="1"/>
  <c r="C25" i="1"/>
  <c r="L25" i="1"/>
  <c r="C26" i="1" a="1"/>
  <c r="C26" i="1" s="1"/>
  <c r="L26" i="1"/>
  <c r="C27" i="1" a="1"/>
  <c r="C27" i="1"/>
  <c r="L27" i="1"/>
  <c r="C28" i="1" a="1"/>
  <c r="C28" i="1" s="1"/>
  <c r="L28" i="1"/>
  <c r="C29" i="1" a="1"/>
  <c r="C29" i="1"/>
  <c r="L29" i="1"/>
  <c r="C30" i="1" a="1"/>
  <c r="C30" i="1" s="1"/>
  <c r="L30" i="1"/>
  <c r="C31" i="1" a="1"/>
  <c r="C31" i="1"/>
  <c r="L31" i="1"/>
  <c r="C32" i="1" a="1"/>
  <c r="C32" i="1" s="1"/>
  <c r="L32" i="1"/>
  <c r="C33" i="1" a="1"/>
  <c r="C33" i="1"/>
  <c r="L33" i="1"/>
  <c r="J48" i="1"/>
  <c r="K48" i="1" a="1"/>
  <c r="K48" i="1"/>
  <c r="J49" i="1"/>
  <c r="K49" i="1" a="1"/>
  <c r="K49" i="1" s="1"/>
  <c r="J50" i="1"/>
  <c r="K50" i="1" a="1"/>
  <c r="K50" i="1" s="1"/>
  <c r="J51" i="1"/>
  <c r="K51" i="1" a="1"/>
  <c r="K51" i="1" s="1"/>
  <c r="J52" i="1"/>
  <c r="K52" i="1" a="1"/>
  <c r="K5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<sst xmlns="http://schemas.openxmlformats.org/spreadsheetml/2006/main" count="206" uniqueCount="120">
  <si>
    <t>Sales Representative</t>
  </si>
  <si>
    <t>Bachelor's Degree</t>
  </si>
  <si>
    <t>AC0035</t>
  </si>
  <si>
    <t>Nour Ahmed Sherif</t>
  </si>
  <si>
    <t>Quality Control</t>
  </si>
  <si>
    <t>Diploma</t>
  </si>
  <si>
    <t>AC0034</t>
  </si>
  <si>
    <t>Sayed Youssef Adel</t>
  </si>
  <si>
    <t>Packaging Associate</t>
  </si>
  <si>
    <t>High School Diploma</t>
  </si>
  <si>
    <t>AC0033</t>
  </si>
  <si>
    <t>Mansour Hossam Ali</t>
  </si>
  <si>
    <t>Research Analyst</t>
  </si>
  <si>
    <t>Master's Degree</t>
  </si>
  <si>
    <t>AC0032</t>
  </si>
  <si>
    <t>Salah Amr El-Din</t>
  </si>
  <si>
    <t>Marketing Manager</t>
  </si>
  <si>
    <t>AC0031</t>
  </si>
  <si>
    <t>Essam Omar El-Shenawy</t>
  </si>
  <si>
    <t>AC0030</t>
  </si>
  <si>
    <t>Basem Tarek Wahid</t>
  </si>
  <si>
    <t>Production Operator</t>
  </si>
  <si>
    <t>AC0029</t>
  </si>
  <si>
    <t>Galal Ahmed Ragab</t>
  </si>
  <si>
    <t>Product Manager</t>
  </si>
  <si>
    <t>AC0028</t>
  </si>
  <si>
    <t>Shady Mohamed Anwar</t>
  </si>
  <si>
    <t>AC0027</t>
  </si>
  <si>
    <t>Saeed Hassan Abdelaziz</t>
  </si>
  <si>
    <t>AC0026</t>
  </si>
  <si>
    <t>Adel Yasser Samir</t>
  </si>
  <si>
    <t>AC0025</t>
  </si>
  <si>
    <t>Samy Mahmoud Fawzy</t>
  </si>
  <si>
    <t>AC0024</t>
  </si>
  <si>
    <t>Fathy Amr Salah</t>
  </si>
  <si>
    <t>Marketing Specialist</t>
  </si>
  <si>
    <t>AC0023</t>
  </si>
  <si>
    <t>Maged Adel Sabry</t>
  </si>
  <si>
    <t>Research Scientist</t>
  </si>
  <si>
    <t>AC0022</t>
  </si>
  <si>
    <t>Magdy Karim Saad</t>
  </si>
  <si>
    <t>AC0021</t>
  </si>
  <si>
    <t>Hesham Mohamed Ramadan</t>
  </si>
  <si>
    <t>AC0020</t>
  </si>
  <si>
    <t>Nader Hossam Zaki</t>
  </si>
  <si>
    <t>AC0019</t>
  </si>
  <si>
    <t>Hany Ahmed Gamal</t>
  </si>
  <si>
    <t>AC0018</t>
  </si>
  <si>
    <t>Khaled Tarek Hamdy</t>
  </si>
  <si>
    <t>AC0017</t>
  </si>
  <si>
    <t>Wael Mohamed Nour</t>
  </si>
  <si>
    <t>AC0016</t>
  </si>
  <si>
    <t>Rami Tamer Mahmoud</t>
  </si>
  <si>
    <t>AC0015</t>
  </si>
  <si>
    <t>Ehab Sherif Kamal</t>
  </si>
  <si>
    <t>AC0014</t>
  </si>
  <si>
    <t>Islam Hossam Badr</t>
  </si>
  <si>
    <t>Chocolatier</t>
  </si>
  <si>
    <t>AC0013</t>
  </si>
  <si>
    <t>Ayman Ahmed Abdelkader</t>
  </si>
  <si>
    <t>AC0012</t>
  </si>
  <si>
    <t>Ali Khaled Moustafa</t>
  </si>
  <si>
    <t>AC0011</t>
  </si>
  <si>
    <t>Mostafa Hassan Tawfik</t>
  </si>
  <si>
    <t>AC0010</t>
  </si>
  <si>
    <t>Sherif Omar Galal</t>
  </si>
  <si>
    <t>AC0009</t>
  </si>
  <si>
    <t>Hossam Ahmed Naguib</t>
  </si>
  <si>
    <t>AC0008</t>
  </si>
  <si>
    <t>Tarek Mohamed Fathi</t>
  </si>
  <si>
    <t>AC0007</t>
  </si>
  <si>
    <t>Youssef Amr Ezzat</t>
  </si>
  <si>
    <t>AC0006</t>
  </si>
  <si>
    <t>Mahmoud Tarek Hussein</t>
  </si>
  <si>
    <t>AC0005</t>
  </si>
  <si>
    <t>Omar Youssef Hamed</t>
  </si>
  <si>
    <t>AC0004</t>
  </si>
  <si>
    <t>Karim Ahmed Salah</t>
  </si>
  <si>
    <t>AC0003</t>
  </si>
  <si>
    <t>Amr Mahmoud Abdelrahman</t>
  </si>
  <si>
    <t>AC0002</t>
  </si>
  <si>
    <t>Mohamed Ali Ibrahim</t>
  </si>
  <si>
    <t>AC0001</t>
  </si>
  <si>
    <t>Ahmed Hassan El-Sayed</t>
  </si>
  <si>
    <t>Age</t>
  </si>
  <si>
    <t>Salary</t>
  </si>
  <si>
    <t>Job Title</t>
  </si>
  <si>
    <t>Date of Join</t>
  </si>
  <si>
    <t>Employee ID</t>
  </si>
  <si>
    <t>Education Qualification</t>
  </si>
  <si>
    <t>Emp ID</t>
  </si>
  <si>
    <t>Name</t>
  </si>
  <si>
    <t>Rachel</t>
  </si>
  <si>
    <t>Peter</t>
  </si>
  <si>
    <t>Neal</t>
  </si>
  <si>
    <t>Mike</t>
  </si>
  <si>
    <t>Melissa</t>
  </si>
  <si>
    <t>Under  150</t>
  </si>
  <si>
    <t>Poor</t>
  </si>
  <si>
    <t>Laura</t>
  </si>
  <si>
    <t>199 to 150</t>
  </si>
  <si>
    <t>Satisfactory</t>
  </si>
  <si>
    <t>Colin</t>
  </si>
  <si>
    <t>249 to 200</t>
  </si>
  <si>
    <t>Good</t>
  </si>
  <si>
    <t>Christian</t>
  </si>
  <si>
    <t>Over 249</t>
  </si>
  <si>
    <t xml:space="preserve">Excellent </t>
  </si>
  <si>
    <t>Brian</t>
  </si>
  <si>
    <t>Scores</t>
  </si>
  <si>
    <t>Result</t>
  </si>
  <si>
    <t>Score</t>
  </si>
  <si>
    <t>Student name</t>
  </si>
  <si>
    <t>with nested if</t>
  </si>
  <si>
    <t>with ifs</t>
  </si>
  <si>
    <t xml:space="preserve"> =IF(E2="NC", "Yes", "No")</t>
  </si>
  <si>
    <t xml:space="preserve"> =IF("NC", "Yes", "No")</t>
  </si>
  <si>
    <t xml:space="preserve"> =IF(E2=NC, "No", "Yes")</t>
  </si>
  <si>
    <t>=(IF E2=NC, "No", "Yes")</t>
  </si>
  <si>
    <r>
      <t xml:space="preserve">Let's say our company is based in </t>
    </r>
    <r>
      <rPr>
        <sz val="24"/>
        <color theme="4"/>
        <rFont val="Calibri"/>
        <family val="2"/>
        <scheme val="minor"/>
      </rPr>
      <t>North Carolina</t>
    </r>
    <r>
      <rPr>
        <sz val="24"/>
        <color theme="1"/>
        <rFont val="Calibri"/>
        <family val="2"/>
        <scheme val="minor"/>
      </rPr>
      <t xml:space="preserve"> and we want to know which of our donors are local. Which of the following IF functions would place the word "Yes" for donors from North Carolina and "No" for those who live out of state?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</si>
</sst>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409]d/mmm/yy;@"/>
  </numFmts>
  <fonts count="7" x14ac:knownFonts="1">
    <font>
      <sz val="11"/>
      <color theme="1"/>
      <name val="Calibri"/>
      <family val="2"/>
      <scheme val="minor"/>
    </font>
    <font>
      <sz val="16"/>
      <color theme="1"/>
      <name val="Calibri"/>
      <family val="2"/>
      <scheme val="minor"/>
    </font>
    <font>
      <b/>
      <sz val="16"/>
      <color theme="0"/>
      <name val="Calibri"/>
      <family val="2"/>
      <scheme val="minor"/>
    </font>
    <font>
      <b/>
      <sz val="16"/>
      <color theme="1"/>
      <name val="Calibri"/>
      <family val="2"/>
      <scheme val="minor"/>
    </font>
    <font>
      <sz val="16"/>
      <color rgb="FFFF0000"/>
      <name val="Calibri"/>
      <family val="2"/>
      <scheme val="minor"/>
    </font>
    <font>
      <sz val="24"/>
      <color theme="1"/>
      <name val="Calibri"/>
      <family val="2"/>
      <scheme val="minor"/>
    </font>
    <font>
      <sz val="24"/>
      <color theme="4"/>
      <name val="Calibri"/>
      <family val="2"/>
      <scheme val="minor"/>
    </font>
  </fonts>
  <fills count="6">
    <fill>
      <patternFill patternType="none"/>
    </fill>
    <fill>
      <patternFill patternType="gray125"/>
    </fill>
    <fill>
      <patternFill patternType="solid">
        <fgColor theme="6" tint="0.79998168889431442"/>
        <bgColor theme="6" tint="0.79998168889431442"/>
      </patternFill>
    </fill>
    <fill>
      <patternFill patternType="solid">
        <fgColor theme="9"/>
        <bgColor indexed="64"/>
      </patternFill>
    </fill>
    <fill>
      <patternFill patternType="solid">
        <fgColor theme="1"/>
        <bgColor indexed="64"/>
      </patternFill>
    </fill>
    <fill>
      <patternFill patternType="solid">
        <fgColor theme="8" tint="0.79998168889431442"/>
        <bgColor indexed="64"/>
      </patternFill>
    </fill>
  </fills>
  <borders count="12">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7">
    <xf numFmtId="0" fontId="0" fillId="0" borderId="0" xfId="0"/>
    <xf numFmtId="0" fontId="1" fillId="0" borderId="0" xfId="0" applyFont="1"/>
    <xf numFmtId="0" fontId="1" fillId="0" borderId="0" xfId="0" applyFont="1" applyAlignment="1">
      <alignment horizontal="center"/>
    </xf>
    <xf numFmtId="3" fontId="1" fillId="0" borderId="0" xfId="0" applyNumberFormat="1" applyFont="1" applyAlignment="1">
      <alignment horizontal="center"/>
    </xf>
    <xf numFmtId="0" fontId="1" fillId="2" borderId="1" xfId="0" applyFont="1" applyFill="1" applyBorder="1" applyAlignment="1">
      <alignment horizontal="center"/>
    </xf>
    <xf numFmtId="6" fontId="1" fillId="2" borderId="2" xfId="0" applyNumberFormat="1" applyFont="1" applyFill="1" applyBorder="1" applyAlignment="1">
      <alignment horizontal="center"/>
    </xf>
    <xf numFmtId="0" fontId="1" fillId="2" borderId="2" xfId="0" applyFont="1" applyFill="1" applyBorder="1" applyAlignment="1">
      <alignment horizontal="center"/>
    </xf>
    <xf numFmtId="15" fontId="1" fillId="2" borderId="2" xfId="0" applyNumberFormat="1" applyFont="1" applyFill="1" applyBorder="1" applyAlignment="1">
      <alignment horizontal="center"/>
    </xf>
    <xf numFmtId="0" fontId="1" fillId="0" borderId="3" xfId="0" applyFont="1" applyBorder="1" applyAlignment="1">
      <alignment horizontal="center"/>
    </xf>
    <xf numFmtId="6" fontId="1" fillId="0" borderId="4" xfId="0" applyNumberFormat="1" applyFont="1" applyBorder="1" applyAlignment="1">
      <alignment horizontal="center"/>
    </xf>
    <xf numFmtId="0" fontId="1" fillId="0" borderId="4" xfId="0" applyFont="1" applyBorder="1" applyAlignment="1">
      <alignment horizontal="center"/>
    </xf>
    <xf numFmtId="15" fontId="1" fillId="0" borderId="4" xfId="0" applyNumberFormat="1" applyFont="1" applyBorder="1" applyAlignment="1">
      <alignment horizontal="center"/>
    </xf>
    <xf numFmtId="0" fontId="1" fillId="2" borderId="3" xfId="0" applyFont="1" applyFill="1" applyBorder="1" applyAlignment="1">
      <alignment horizontal="center"/>
    </xf>
    <xf numFmtId="6" fontId="1" fillId="2" borderId="4" xfId="0" applyNumberFormat="1" applyFont="1" applyFill="1" applyBorder="1" applyAlignment="1">
      <alignment horizontal="center"/>
    </xf>
    <xf numFmtId="0" fontId="1" fillId="2" borderId="4" xfId="0" applyFont="1" applyFill="1" applyBorder="1" applyAlignment="1">
      <alignment horizontal="center"/>
    </xf>
    <xf numFmtId="15" fontId="1" fillId="2" borderId="4" xfId="0" applyNumberFormat="1" applyFont="1" applyFill="1" applyBorder="1" applyAlignment="1">
      <alignment horizontal="center"/>
    </xf>
    <xf numFmtId="0" fontId="1" fillId="0" borderId="5" xfId="0" applyFont="1" applyBorder="1" applyAlignment="1">
      <alignment horizontal="center" vertical="center"/>
    </xf>
    <xf numFmtId="164" fontId="1" fillId="0" borderId="5" xfId="0" applyNumberFormat="1" applyFont="1" applyBorder="1" applyAlignment="1">
      <alignment horizontal="center" vertical="center"/>
    </xf>
    <xf numFmtId="0" fontId="1" fillId="0" borderId="5" xfId="0" applyFont="1" applyBorder="1" applyAlignment="1">
      <alignment horizontal="center"/>
    </xf>
    <xf numFmtId="0" fontId="2" fillId="3" borderId="5" xfId="0" applyFont="1" applyFill="1" applyBorder="1" applyAlignment="1">
      <alignment horizontal="center"/>
    </xf>
    <xf numFmtId="0" fontId="2" fillId="3" borderId="3" xfId="0" applyFont="1" applyFill="1" applyBorder="1" applyAlignment="1">
      <alignment horizontal="center"/>
    </xf>
    <xf numFmtId="0" fontId="2" fillId="3" borderId="4" xfId="0" applyFont="1" applyFill="1" applyBorder="1" applyAlignment="1">
      <alignment horizontal="center"/>
    </xf>
    <xf numFmtId="0" fontId="1" fillId="4" borderId="0" xfId="0" applyFont="1" applyFill="1"/>
    <xf numFmtId="0" fontId="1" fillId="4" borderId="0" xfId="0" applyFont="1" applyFill="1" applyAlignment="1">
      <alignment horizontal="center"/>
    </xf>
    <xf numFmtId="3" fontId="1" fillId="4" borderId="0" xfId="0" applyNumberFormat="1" applyFont="1" applyFill="1" applyAlignment="1">
      <alignment horizontal="center"/>
    </xf>
    <xf numFmtId="0" fontId="1" fillId="0" borderId="6" xfId="0" applyFont="1" applyBorder="1" applyAlignment="1">
      <alignment horizontal="center"/>
    </xf>
    <xf numFmtId="0" fontId="1" fillId="0" borderId="7" xfId="0" applyFont="1" applyBorder="1"/>
    <xf numFmtId="0" fontId="1" fillId="0" borderId="8" xfId="0" applyFont="1" applyBorder="1" applyAlignment="1">
      <alignment horizontal="center"/>
    </xf>
    <xf numFmtId="0" fontId="1" fillId="0" borderId="9" xfId="0" applyFont="1" applyBorder="1"/>
    <xf numFmtId="0" fontId="3" fillId="5" borderId="10" xfId="0" applyFont="1" applyFill="1" applyBorder="1" applyAlignment="1">
      <alignment horizontal="center"/>
    </xf>
    <xf numFmtId="0" fontId="3" fillId="5" borderId="11" xfId="0" applyFont="1" applyFill="1" applyBorder="1" applyAlignment="1">
      <alignment horizontal="center"/>
    </xf>
    <xf numFmtId="0" fontId="3" fillId="5" borderId="0" xfId="0" applyFont="1" applyFill="1" applyAlignment="1">
      <alignment horizontal="center"/>
    </xf>
    <xf numFmtId="3" fontId="3" fillId="5" borderId="0" xfId="0" applyNumberFormat="1" applyFont="1" applyFill="1" applyAlignment="1">
      <alignment horizontal="center"/>
    </xf>
    <xf numFmtId="0" fontId="3" fillId="5" borderId="0" xfId="0" applyFont="1" applyFill="1"/>
    <xf numFmtId="0" fontId="1" fillId="0" borderId="0" xfId="0" applyFont="1" applyAlignment="1">
      <alignment horizontal="center" vertical="center"/>
    </xf>
    <xf numFmtId="0" fontId="4" fillId="0" borderId="0" xfId="0" applyFont="1" applyAlignment="1">
      <alignment horizontal="center"/>
    </xf>
    <xf numFmtId="0" fontId="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8AD5F-49EE-408C-9FE0-AA14E911CEC0}">
  <dimension ref="A1:P82"/>
  <sheetViews>
    <sheetView tabSelected="1" topLeftCell="A18" zoomScale="43" zoomScaleNormal="90" workbookViewId="0">
      <selection activeCell="B72" sqref="B72"/>
    </sheetView>
  </sheetViews>
  <sheetFormatPr defaultColWidth="9.109375" defaultRowHeight="21" x14ac:dyDescent="0.4"/>
  <cols>
    <col min="1" max="1" width="38.109375" style="1" bestFit="1" customWidth="1"/>
    <col min="2" max="2" width="16.109375" style="3" bestFit="1" customWidth="1"/>
    <col min="3" max="3" width="36.109375" style="2" customWidth="1"/>
    <col min="4" max="4" width="39.44140625" style="1" bestFit="1" customWidth="1"/>
    <col min="5" max="6" width="27.33203125" style="1" bestFit="1" customWidth="1"/>
    <col min="7" max="7" width="19.88671875" style="1" customWidth="1"/>
    <col min="8" max="8" width="32.44140625" style="1" bestFit="1" customWidth="1"/>
    <col min="9" max="9" width="29.33203125" style="2" customWidth="1"/>
    <col min="10" max="13" width="29.33203125" style="1" customWidth="1"/>
    <col min="14" max="14" width="9.109375" style="1"/>
    <col min="15" max="15" width="15.44140625" style="1" bestFit="1" customWidth="1"/>
    <col min="16" max="16" width="14.77734375" style="1" bestFit="1" customWidth="1"/>
    <col min="17" max="16384" width="9.109375" style="1"/>
  </cols>
  <sheetData>
    <row r="1" spans="1:6" x14ac:dyDescent="0.4">
      <c r="A1" s="36" t="s">
        <v>119</v>
      </c>
      <c r="B1" s="36"/>
      <c r="C1" s="36"/>
      <c r="D1" s="36"/>
      <c r="E1" s="36"/>
      <c r="F1" s="36"/>
    </row>
    <row r="2" spans="1:6" x14ac:dyDescent="0.4">
      <c r="A2" s="36"/>
      <c r="B2" s="36"/>
      <c r="C2" s="36"/>
      <c r="D2" s="36"/>
      <c r="E2" s="36"/>
      <c r="F2" s="36"/>
    </row>
    <row r="3" spans="1:6" x14ac:dyDescent="0.4">
      <c r="A3" s="36"/>
      <c r="B3" s="36"/>
      <c r="C3" s="36"/>
      <c r="D3" s="36"/>
      <c r="E3" s="36"/>
      <c r="F3" s="36"/>
    </row>
    <row r="4" spans="1:6" x14ac:dyDescent="0.4">
      <c r="A4" s="36"/>
      <c r="B4" s="36"/>
      <c r="C4" s="36"/>
      <c r="D4" s="36"/>
      <c r="E4" s="36"/>
      <c r="F4" s="36"/>
    </row>
    <row r="5" spans="1:6" x14ac:dyDescent="0.4">
      <c r="A5" s="36"/>
      <c r="B5" s="36"/>
      <c r="C5" s="36"/>
      <c r="D5" s="36"/>
      <c r="E5" s="36"/>
      <c r="F5" s="36"/>
    </row>
    <row r="6" spans="1:6" x14ac:dyDescent="0.4">
      <c r="A6" s="36"/>
      <c r="B6" s="36"/>
      <c r="C6" s="36"/>
      <c r="D6" s="36"/>
      <c r="E6" s="36"/>
      <c r="F6" s="36"/>
    </row>
    <row r="7" spans="1:6" x14ac:dyDescent="0.4">
      <c r="A7" s="36"/>
      <c r="B7" s="36"/>
      <c r="C7" s="36"/>
      <c r="D7" s="36"/>
      <c r="E7" s="36"/>
      <c r="F7" s="36"/>
    </row>
    <row r="8" spans="1:6" x14ac:dyDescent="0.4">
      <c r="A8" s="36"/>
      <c r="B8" s="36"/>
      <c r="C8" s="36"/>
      <c r="D8" s="36"/>
      <c r="E8" s="36"/>
      <c r="F8" s="36"/>
    </row>
    <row r="10" spans="1:6" x14ac:dyDescent="0.4">
      <c r="A10" s="1" t="s">
        <v>118</v>
      </c>
      <c r="C10" s="2" t="s">
        <v>117</v>
      </c>
    </row>
    <row r="13" spans="1:6" x14ac:dyDescent="0.4">
      <c r="A13" s="1" t="s">
        <v>116</v>
      </c>
      <c r="C13" s="35" t="s">
        <v>115</v>
      </c>
    </row>
    <row r="18" spans="1:16" x14ac:dyDescent="0.4">
      <c r="A18" s="22"/>
      <c r="B18" s="24"/>
      <c r="C18" s="23"/>
      <c r="D18" s="22"/>
      <c r="E18" s="22"/>
      <c r="F18" s="22"/>
      <c r="G18" s="22"/>
      <c r="H18" s="22"/>
      <c r="I18" s="23"/>
      <c r="J18" s="22"/>
      <c r="K18" s="22"/>
    </row>
    <row r="23" spans="1:16" x14ac:dyDescent="0.4">
      <c r="A23" s="34" t="s">
        <v>114</v>
      </c>
      <c r="J23" s="34" t="s">
        <v>113</v>
      </c>
      <c r="K23" s="3"/>
      <c r="L23" s="2"/>
    </row>
    <row r="24" spans="1:16" x14ac:dyDescent="0.4">
      <c r="A24" s="33" t="s">
        <v>112</v>
      </c>
      <c r="B24" s="32" t="s">
        <v>111</v>
      </c>
      <c r="C24" s="31" t="s">
        <v>110</v>
      </c>
      <c r="F24" s="30" t="s">
        <v>109</v>
      </c>
      <c r="G24" s="29"/>
      <c r="J24" s="33" t="s">
        <v>112</v>
      </c>
      <c r="K24" s="32" t="s">
        <v>111</v>
      </c>
      <c r="L24" s="31" t="s">
        <v>110</v>
      </c>
      <c r="O24" s="30" t="s">
        <v>109</v>
      </c>
      <c r="P24" s="29"/>
    </row>
    <row r="25" spans="1:16" x14ac:dyDescent="0.4">
      <c r="A25" s="1" t="s">
        <v>108</v>
      </c>
      <c r="B25" s="3">
        <v>274</v>
      </c>
      <c r="C25" s="2" t="str" cm="1">
        <f t="array" ref="C25">_xlfn.IFS(B25&lt;150,$F$28,AND(B25&gt;=150,B25&lt;200),$F$27,AND(B25&gt;=200,B25&lt;250),$F$26,B25&gt;249,$F$25)</f>
        <v xml:space="preserve">Excellent </v>
      </c>
      <c r="F25" s="28" t="s">
        <v>107</v>
      </c>
      <c r="G25" s="27" t="s">
        <v>106</v>
      </c>
      <c r="J25" s="1" t="s">
        <v>108</v>
      </c>
      <c r="K25" s="3">
        <v>274</v>
      </c>
      <c r="L25" s="2" t="str">
        <f>IF(K25&lt;150,$O$28,IF(AND(K25&gt;=150,K25&lt;200),$O$27,IF(AND(K25&gt;=200,K25&lt;250),$O$26,$O$25)))</f>
        <v xml:space="preserve">Excellent </v>
      </c>
      <c r="O25" s="28" t="s">
        <v>107</v>
      </c>
      <c r="P25" s="27" t="s">
        <v>106</v>
      </c>
    </row>
    <row r="26" spans="1:16" x14ac:dyDescent="0.4">
      <c r="A26" s="1" t="s">
        <v>105</v>
      </c>
      <c r="B26" s="3">
        <v>280</v>
      </c>
      <c r="C26" s="2" t="str" cm="1">
        <f t="array" ref="C26">_xlfn.IFS(B26&lt;150,$F$28,AND(B26&gt;=150,B26&lt;200),$F$27,AND(B26&gt;=200,B26&lt;250),$F$26,B26&gt;249,$F$25)</f>
        <v xml:space="preserve">Excellent </v>
      </c>
      <c r="F26" s="28" t="s">
        <v>104</v>
      </c>
      <c r="G26" s="27" t="s">
        <v>103</v>
      </c>
      <c r="J26" s="1" t="s">
        <v>105</v>
      </c>
      <c r="K26" s="3">
        <v>280</v>
      </c>
      <c r="L26" s="2" t="str">
        <f>IF(K26&lt;150,$O$28,IF(AND(K26&gt;=150,K26&lt;200),$O$27,IF(AND(K26&gt;=200,K26&lt;250),$O$26,$O$25)))</f>
        <v xml:space="preserve">Excellent </v>
      </c>
      <c r="O26" s="28" t="s">
        <v>104</v>
      </c>
      <c r="P26" s="27" t="s">
        <v>103</v>
      </c>
    </row>
    <row r="27" spans="1:16" x14ac:dyDescent="0.4">
      <c r="A27" s="1" t="s">
        <v>102</v>
      </c>
      <c r="B27" s="3">
        <v>170</v>
      </c>
      <c r="C27" s="2" t="str" cm="1">
        <f t="array" ref="C27">_xlfn.IFS(B27&lt;150,$F$28,AND(B27&gt;=150,B27&lt;200),$F$27,AND(B27&gt;=200,B27&lt;250),$F$26,B27&gt;249,$F$25)</f>
        <v>Satisfactory</v>
      </c>
      <c r="F27" s="28" t="s">
        <v>101</v>
      </c>
      <c r="G27" s="27" t="s">
        <v>100</v>
      </c>
      <c r="J27" s="1" t="s">
        <v>102</v>
      </c>
      <c r="K27" s="3">
        <v>170</v>
      </c>
      <c r="L27" s="2" t="str">
        <f>IF(K27&lt;150,$O$28,IF(AND(K27&gt;=150,K27&lt;200),$O$27,IF(AND(K27&gt;=200,K27&lt;250),$O$26,$O$25)))</f>
        <v>Satisfactory</v>
      </c>
      <c r="O27" s="28" t="s">
        <v>101</v>
      </c>
      <c r="P27" s="27" t="s">
        <v>100</v>
      </c>
    </row>
    <row r="28" spans="1:16" x14ac:dyDescent="0.4">
      <c r="A28" s="1" t="s">
        <v>99</v>
      </c>
      <c r="B28" s="3">
        <v>237</v>
      </c>
      <c r="C28" s="2" t="str" cm="1">
        <f t="array" ref="C28">_xlfn.IFS(B28&lt;150,$F$28,AND(B28&gt;=150,B28&lt;200),$F$27,AND(B28&gt;=200,B28&lt;250),$F$26,B28&gt;249,$F$25)</f>
        <v>Good</v>
      </c>
      <c r="F28" s="26" t="s">
        <v>98</v>
      </c>
      <c r="G28" s="25" t="s">
        <v>97</v>
      </c>
      <c r="J28" s="1" t="s">
        <v>99</v>
      </c>
      <c r="K28" s="3">
        <v>237</v>
      </c>
      <c r="L28" s="2" t="str">
        <f>IF(K28&lt;150,$O$28,IF(AND(K28&gt;=150,K28&lt;200),$O$27,IF(AND(K28&gt;=200,K28&lt;250),$O$26,$O$25)))</f>
        <v>Good</v>
      </c>
      <c r="O28" s="26" t="s">
        <v>98</v>
      </c>
      <c r="P28" s="25" t="s">
        <v>97</v>
      </c>
    </row>
    <row r="29" spans="1:16" x14ac:dyDescent="0.4">
      <c r="A29" s="1" t="s">
        <v>96</v>
      </c>
      <c r="B29" s="3">
        <v>210</v>
      </c>
      <c r="C29" s="2" t="str" cm="1">
        <f t="array" ref="C29">_xlfn.IFS(B29&lt;150,$F$28,AND(B29&gt;=150,B29&lt;200),$F$27,AND(B29&gt;=200,B29&lt;250),$F$26,B29&gt;249,$F$25)</f>
        <v>Good</v>
      </c>
      <c r="J29" s="1" t="s">
        <v>96</v>
      </c>
      <c r="K29" s="3">
        <v>210</v>
      </c>
      <c r="L29" s="2" t="str">
        <f>IF(K29&lt;150,$O$28,IF(AND(K29&gt;=150,K29&lt;200),$O$27,IF(AND(K29&gt;=200,K29&lt;250),$O$26,$O$25)))</f>
        <v>Good</v>
      </c>
    </row>
    <row r="30" spans="1:16" x14ac:dyDescent="0.4">
      <c r="A30" s="1" t="s">
        <v>95</v>
      </c>
      <c r="B30" s="3">
        <v>186</v>
      </c>
      <c r="C30" s="2" t="str" cm="1">
        <f t="array" ref="C30">_xlfn.IFS(B30&lt;150,$F$28,AND(B30&gt;=150,B30&lt;200),$F$27,AND(B30&gt;=200,B30&lt;250),$F$26,B30&gt;249,$F$25)</f>
        <v>Satisfactory</v>
      </c>
      <c r="J30" s="1" t="s">
        <v>95</v>
      </c>
      <c r="K30" s="3">
        <v>186</v>
      </c>
      <c r="L30" s="2" t="str">
        <f>IF(K30&lt;150,$O$28,IF(AND(K30&gt;=150,K30&lt;200),$O$27,IF(AND(K30&gt;=200,K30&lt;250),$O$26,$O$25)))</f>
        <v>Satisfactory</v>
      </c>
    </row>
    <row r="31" spans="1:16" x14ac:dyDescent="0.4">
      <c r="A31" s="1" t="s">
        <v>94</v>
      </c>
      <c r="B31" s="3">
        <v>240</v>
      </c>
      <c r="C31" s="2" t="str" cm="1">
        <f t="array" ref="C31">_xlfn.IFS(B31&lt;150,$F$28,AND(B31&gt;=150,B31&lt;200),$F$27,AND(B31&gt;=200,B31&lt;250),$F$26,B31&gt;249,$F$25)</f>
        <v>Good</v>
      </c>
      <c r="J31" s="1" t="s">
        <v>94</v>
      </c>
      <c r="K31" s="3">
        <v>240</v>
      </c>
      <c r="L31" s="2" t="str">
        <f>IF(K31&lt;150,$O$28,IF(AND(K31&gt;=150,K31&lt;200),$O$27,IF(AND(K31&gt;=200,K31&lt;250),$O$26,$O$25)))</f>
        <v>Good</v>
      </c>
    </row>
    <row r="32" spans="1:16" x14ac:dyDescent="0.4">
      <c r="A32" s="1" t="s">
        <v>93</v>
      </c>
      <c r="B32" s="3">
        <v>146</v>
      </c>
      <c r="C32" s="2" t="str" cm="1">
        <f t="array" ref="C32">_xlfn.IFS(B32&lt;150,$F$28,AND(B32&gt;=150,B32&lt;200),$F$27,AND(B32&gt;=200,B32&lt;250),$F$26,B32&gt;249,$F$25)</f>
        <v>Poor</v>
      </c>
      <c r="J32" s="1" t="s">
        <v>93</v>
      </c>
      <c r="K32" s="3">
        <v>146</v>
      </c>
      <c r="L32" s="2" t="str">
        <f>IF(K32&lt;150,$O$28,IF(AND(K32&gt;=150,K32&lt;200),$O$27,IF(AND(K32&gt;=200,K32&lt;250),$O$26,$O$25)))</f>
        <v>Poor</v>
      </c>
    </row>
    <row r="33" spans="1:13" x14ac:dyDescent="0.4">
      <c r="A33" s="1" t="s">
        <v>92</v>
      </c>
      <c r="B33" s="3">
        <v>287</v>
      </c>
      <c r="C33" s="2" t="str" cm="1">
        <f t="array" ref="C33">_xlfn.IFS(B33&lt;150,$F$28,AND(B33&gt;=150,B33&lt;200),$F$27,AND(B33&gt;=200,B33&lt;250),$F$26,B33&gt;249,$F$25)</f>
        <v xml:space="preserve">Excellent </v>
      </c>
      <c r="J33" s="1" t="s">
        <v>92</v>
      </c>
      <c r="K33" s="3">
        <v>287</v>
      </c>
      <c r="L33" s="2" t="str">
        <f>IF(K33&lt;150,$O$28,IF(AND(K33&gt;=150,K33&lt;200),$O$27,IF(AND(K33&gt;=200,K33&lt;250),$O$26,$O$25)))</f>
        <v xml:space="preserve">Excellent </v>
      </c>
    </row>
    <row r="34" spans="1:13" x14ac:dyDescent="0.4">
      <c r="K34" s="3"/>
      <c r="L34" s="2"/>
    </row>
    <row r="35" spans="1:13" x14ac:dyDescent="0.4">
      <c r="K35" s="3"/>
      <c r="L35" s="2"/>
    </row>
    <row r="45" spans="1:13" x14ac:dyDescent="0.4">
      <c r="A45" s="22"/>
      <c r="B45" s="24"/>
      <c r="C45" s="23"/>
      <c r="D45" s="22"/>
      <c r="E45" s="22"/>
      <c r="F45" s="22"/>
      <c r="G45" s="22"/>
      <c r="H45" s="22"/>
      <c r="I45" s="23"/>
      <c r="J45" s="22"/>
      <c r="K45" s="22"/>
    </row>
    <row r="47" spans="1:13" x14ac:dyDescent="0.4">
      <c r="A47" s="21" t="s">
        <v>91</v>
      </c>
      <c r="B47" s="21" t="s">
        <v>90</v>
      </c>
      <c r="C47" s="21" t="s">
        <v>89</v>
      </c>
      <c r="D47" s="21" t="s">
        <v>87</v>
      </c>
      <c r="E47" s="21" t="s">
        <v>86</v>
      </c>
      <c r="F47" s="21" t="s">
        <v>85</v>
      </c>
      <c r="G47" s="20" t="s">
        <v>84</v>
      </c>
      <c r="I47" s="19" t="s">
        <v>88</v>
      </c>
      <c r="J47" s="19" t="s">
        <v>87</v>
      </c>
      <c r="K47" s="19" t="s">
        <v>86</v>
      </c>
      <c r="L47" s="19" t="s">
        <v>85</v>
      </c>
      <c r="M47" s="19" t="s">
        <v>84</v>
      </c>
    </row>
    <row r="48" spans="1:13" x14ac:dyDescent="0.4">
      <c r="A48" s="14" t="s">
        <v>83</v>
      </c>
      <c r="B48" s="14" t="s">
        <v>82</v>
      </c>
      <c r="C48" s="14" t="s">
        <v>1</v>
      </c>
      <c r="D48" s="15">
        <v>43994</v>
      </c>
      <c r="E48" s="14" t="s">
        <v>57</v>
      </c>
      <c r="F48" s="13">
        <v>51300</v>
      </c>
      <c r="G48" s="12">
        <v>26</v>
      </c>
      <c r="I48" s="18" t="s">
        <v>49</v>
      </c>
      <c r="J48" s="17">
        <f>_xlfn.XLOOKUP(I48,B48:B82,D48:D82)</f>
        <v>44416</v>
      </c>
      <c r="K48" s="16" t="str" cm="1">
        <f t="array" ref="K48:M48">_xlfn.XLOOKUP(I48,B48:B82,E48:G82)</f>
        <v>Quality Control</v>
      </c>
      <c r="L48" s="16">
        <v>41500</v>
      </c>
      <c r="M48" s="16">
        <v>32.299999999999997</v>
      </c>
    </row>
    <row r="49" spans="1:13" x14ac:dyDescent="0.4">
      <c r="A49" s="10" t="s">
        <v>81</v>
      </c>
      <c r="B49" s="10" t="s">
        <v>80</v>
      </c>
      <c r="C49" s="10" t="s">
        <v>5</v>
      </c>
      <c r="D49" s="11">
        <v>44245</v>
      </c>
      <c r="E49" s="10" t="s">
        <v>21</v>
      </c>
      <c r="F49" s="9">
        <v>38300</v>
      </c>
      <c r="G49" s="8">
        <v>32.700000000000003</v>
      </c>
      <c r="I49" s="18" t="s">
        <v>22</v>
      </c>
      <c r="J49" s="17">
        <f>_xlfn.XLOOKUP(I49,B49:B83,D49:D83)</f>
        <v>45072</v>
      </c>
      <c r="K49" s="16" t="str" cm="1">
        <f t="array" ref="K49:M49">_xlfn.XLOOKUP(I49,B49:B83,E49:G83)</f>
        <v>Production Operator</v>
      </c>
      <c r="L49" s="16">
        <v>35900</v>
      </c>
      <c r="M49" s="16">
        <v>29.9</v>
      </c>
    </row>
    <row r="50" spans="1:13" x14ac:dyDescent="0.4">
      <c r="A50" s="14" t="s">
        <v>79</v>
      </c>
      <c r="B50" s="14" t="s">
        <v>78</v>
      </c>
      <c r="C50" s="14" t="s">
        <v>9</v>
      </c>
      <c r="D50" s="15">
        <v>44809</v>
      </c>
      <c r="E50" s="14" t="s">
        <v>8</v>
      </c>
      <c r="F50" s="13">
        <v>31400</v>
      </c>
      <c r="G50" s="12">
        <v>34.299999999999997</v>
      </c>
      <c r="I50" s="18" t="s">
        <v>74</v>
      </c>
      <c r="J50" s="17">
        <f>_xlfn.XLOOKUP(I50,B50:B84,D50:D84)</f>
        <v>43198</v>
      </c>
      <c r="K50" s="16" t="str" cm="1">
        <f t="array" ref="K50:M50">_xlfn.XLOOKUP(I50,B50:B84,E50:G84)</f>
        <v>Research Scientist</v>
      </c>
      <c r="L50" s="16">
        <v>77300</v>
      </c>
      <c r="M50" s="16">
        <v>30.3</v>
      </c>
    </row>
    <row r="51" spans="1:13" x14ac:dyDescent="0.4">
      <c r="A51" s="10" t="s">
        <v>77</v>
      </c>
      <c r="B51" s="10" t="s">
        <v>76</v>
      </c>
      <c r="C51" s="10" t="s">
        <v>1</v>
      </c>
      <c r="D51" s="11">
        <v>43789</v>
      </c>
      <c r="E51" s="10" t="s">
        <v>35</v>
      </c>
      <c r="F51" s="9">
        <v>60700</v>
      </c>
      <c r="G51" s="8">
        <v>29.6</v>
      </c>
      <c r="I51" s="18" t="s">
        <v>64</v>
      </c>
      <c r="J51" s="17">
        <f>_xlfn.XLOOKUP(I51,B51:B85,D51:D85)</f>
        <v>43641</v>
      </c>
      <c r="K51" s="16" t="str" cm="1">
        <f t="array" ref="K51:M51">_xlfn.XLOOKUP(I51,B51:B85,E51:G85)</f>
        <v>Product Manager</v>
      </c>
      <c r="L51" s="16">
        <v>82900</v>
      </c>
      <c r="M51" s="16">
        <v>31.1</v>
      </c>
    </row>
    <row r="52" spans="1:13" x14ac:dyDescent="0.4">
      <c r="A52" s="14" t="s">
        <v>75</v>
      </c>
      <c r="B52" s="14" t="s">
        <v>74</v>
      </c>
      <c r="C52" s="14" t="s">
        <v>13</v>
      </c>
      <c r="D52" s="15">
        <v>43198</v>
      </c>
      <c r="E52" s="14" t="s">
        <v>38</v>
      </c>
      <c r="F52" s="13">
        <v>77300</v>
      </c>
      <c r="G52" s="12">
        <v>30.3</v>
      </c>
      <c r="I52" s="18" t="s">
        <v>31</v>
      </c>
      <c r="J52" s="17">
        <f>_xlfn.XLOOKUP(I52,B52:B86,D52:D86)</f>
        <v>44969</v>
      </c>
      <c r="K52" s="16" t="str" cm="1">
        <f t="array" ref="K52:M52">_xlfn.XLOOKUP(I52,B52:B86,E52:G86)</f>
        <v>Packaging Associate</v>
      </c>
      <c r="L52" s="16">
        <v>32500</v>
      </c>
      <c r="M52" s="16">
        <v>63.7</v>
      </c>
    </row>
    <row r="53" spans="1:13" x14ac:dyDescent="0.4">
      <c r="A53" s="10" t="s">
        <v>73</v>
      </c>
      <c r="B53" s="10" t="s">
        <v>72</v>
      </c>
      <c r="C53" s="10" t="s">
        <v>1</v>
      </c>
      <c r="D53" s="11">
        <v>44999</v>
      </c>
      <c r="E53" s="10" t="s">
        <v>0</v>
      </c>
      <c r="F53" s="9">
        <v>49800</v>
      </c>
      <c r="G53" s="8">
        <v>37.700000000000003</v>
      </c>
    </row>
    <row r="54" spans="1:13" x14ac:dyDescent="0.4">
      <c r="A54" s="14" t="s">
        <v>71</v>
      </c>
      <c r="B54" s="14" t="s">
        <v>70</v>
      </c>
      <c r="C54" s="14" t="s">
        <v>9</v>
      </c>
      <c r="D54" s="15">
        <v>44563</v>
      </c>
      <c r="E54" s="14" t="s">
        <v>21</v>
      </c>
      <c r="F54" s="13">
        <v>33000</v>
      </c>
      <c r="G54" s="12">
        <v>31.8</v>
      </c>
    </row>
    <row r="55" spans="1:13" x14ac:dyDescent="0.4">
      <c r="A55" s="10" t="s">
        <v>69</v>
      </c>
      <c r="B55" s="10" t="s">
        <v>68</v>
      </c>
      <c r="C55" s="10" t="s">
        <v>5</v>
      </c>
      <c r="D55" s="11">
        <v>44031</v>
      </c>
      <c r="E55" s="10" t="s">
        <v>4</v>
      </c>
      <c r="F55" s="9">
        <v>41900</v>
      </c>
      <c r="G55" s="8">
        <v>35.9</v>
      </c>
    </row>
    <row r="56" spans="1:13" x14ac:dyDescent="0.4">
      <c r="A56" s="14" t="s">
        <v>67</v>
      </c>
      <c r="B56" s="14" t="s">
        <v>66</v>
      </c>
      <c r="C56" s="14" t="s">
        <v>1</v>
      </c>
      <c r="D56" s="15">
        <v>44510</v>
      </c>
      <c r="E56" s="14" t="s">
        <v>12</v>
      </c>
      <c r="F56" s="13">
        <v>58100</v>
      </c>
      <c r="G56" s="12">
        <v>31</v>
      </c>
    </row>
    <row r="57" spans="1:13" x14ac:dyDescent="0.4">
      <c r="A57" s="10" t="s">
        <v>65</v>
      </c>
      <c r="B57" s="10" t="s">
        <v>64</v>
      </c>
      <c r="C57" s="10" t="s">
        <v>13</v>
      </c>
      <c r="D57" s="11">
        <v>43641</v>
      </c>
      <c r="E57" s="10" t="s">
        <v>24</v>
      </c>
      <c r="F57" s="9">
        <v>82900</v>
      </c>
      <c r="G57" s="8">
        <v>31.1</v>
      </c>
    </row>
    <row r="58" spans="1:13" x14ac:dyDescent="0.4">
      <c r="A58" s="14" t="s">
        <v>63</v>
      </c>
      <c r="B58" s="14" t="s">
        <v>62</v>
      </c>
      <c r="C58" s="14" t="s">
        <v>9</v>
      </c>
      <c r="D58" s="15">
        <v>44777</v>
      </c>
      <c r="E58" s="14" t="s">
        <v>8</v>
      </c>
      <c r="F58" s="13">
        <v>28900</v>
      </c>
      <c r="G58" s="12">
        <v>30.3</v>
      </c>
    </row>
    <row r="59" spans="1:13" x14ac:dyDescent="0.4">
      <c r="A59" s="10" t="s">
        <v>61</v>
      </c>
      <c r="B59" s="10" t="s">
        <v>60</v>
      </c>
      <c r="C59" s="10" t="s">
        <v>5</v>
      </c>
      <c r="D59" s="11">
        <v>43878</v>
      </c>
      <c r="E59" s="10" t="s">
        <v>21</v>
      </c>
      <c r="F59" s="9">
        <v>37300</v>
      </c>
      <c r="G59" s="8">
        <v>35</v>
      </c>
    </row>
    <row r="60" spans="1:13" x14ac:dyDescent="0.4">
      <c r="A60" s="14" t="s">
        <v>59</v>
      </c>
      <c r="B60" s="14" t="s">
        <v>58</v>
      </c>
      <c r="C60" s="14" t="s">
        <v>1</v>
      </c>
      <c r="D60" s="15">
        <v>44499</v>
      </c>
      <c r="E60" s="14" t="s">
        <v>57</v>
      </c>
      <c r="F60" s="13">
        <v>52700</v>
      </c>
      <c r="G60" s="12">
        <v>28.5</v>
      </c>
    </row>
    <row r="61" spans="1:13" x14ac:dyDescent="0.4">
      <c r="A61" s="10" t="s">
        <v>56</v>
      </c>
      <c r="B61" s="10" t="s">
        <v>55</v>
      </c>
      <c r="C61" s="10" t="s">
        <v>13</v>
      </c>
      <c r="D61" s="11">
        <v>43355</v>
      </c>
      <c r="E61" s="10" t="s">
        <v>16</v>
      </c>
      <c r="F61" s="9">
        <v>74700</v>
      </c>
      <c r="G61" s="8">
        <v>52.4</v>
      </c>
    </row>
    <row r="62" spans="1:13" x14ac:dyDescent="0.4">
      <c r="A62" s="14" t="s">
        <v>54</v>
      </c>
      <c r="B62" s="14" t="s">
        <v>53</v>
      </c>
      <c r="C62" s="14" t="s">
        <v>1</v>
      </c>
      <c r="D62" s="15">
        <v>43529</v>
      </c>
      <c r="E62" s="14" t="s">
        <v>12</v>
      </c>
      <c r="F62" s="13">
        <v>55600</v>
      </c>
      <c r="G62" s="12">
        <v>35.4</v>
      </c>
    </row>
    <row r="63" spans="1:13" x14ac:dyDescent="0.4">
      <c r="A63" s="10" t="s">
        <v>52</v>
      </c>
      <c r="B63" s="10" t="s">
        <v>51</v>
      </c>
      <c r="C63" s="10" t="s">
        <v>9</v>
      </c>
      <c r="D63" s="11">
        <v>44702</v>
      </c>
      <c r="E63" s="10" t="s">
        <v>8</v>
      </c>
      <c r="F63" s="9">
        <v>32900</v>
      </c>
      <c r="G63" s="8">
        <v>29.8</v>
      </c>
    </row>
    <row r="64" spans="1:13" x14ac:dyDescent="0.4">
      <c r="A64" s="14" t="s">
        <v>50</v>
      </c>
      <c r="B64" s="14" t="s">
        <v>49</v>
      </c>
      <c r="C64" s="14" t="s">
        <v>5</v>
      </c>
      <c r="D64" s="15">
        <v>44416</v>
      </c>
      <c r="E64" s="14" t="s">
        <v>4</v>
      </c>
      <c r="F64" s="13">
        <v>41500</v>
      </c>
      <c r="G64" s="12">
        <v>32.299999999999997</v>
      </c>
    </row>
    <row r="65" spans="1:7" x14ac:dyDescent="0.4">
      <c r="A65" s="10" t="s">
        <v>48</v>
      </c>
      <c r="B65" s="10" t="s">
        <v>47</v>
      </c>
      <c r="C65" s="10" t="s">
        <v>1</v>
      </c>
      <c r="D65" s="11">
        <v>44158</v>
      </c>
      <c r="E65" s="10" t="s">
        <v>0</v>
      </c>
      <c r="F65" s="9">
        <v>49400</v>
      </c>
      <c r="G65" s="8">
        <v>31.1</v>
      </c>
    </row>
    <row r="66" spans="1:7" x14ac:dyDescent="0.4">
      <c r="A66" s="14" t="s">
        <v>46</v>
      </c>
      <c r="B66" s="14" t="s">
        <v>45</v>
      </c>
      <c r="C66" s="14" t="s">
        <v>13</v>
      </c>
      <c r="D66" s="15">
        <v>42931</v>
      </c>
      <c r="E66" s="14" t="s">
        <v>24</v>
      </c>
      <c r="F66" s="13">
        <v>82700</v>
      </c>
      <c r="G66" s="12">
        <v>33.5</v>
      </c>
    </row>
    <row r="67" spans="1:7" x14ac:dyDescent="0.4">
      <c r="A67" s="10" t="s">
        <v>44</v>
      </c>
      <c r="B67" s="10" t="s">
        <v>43</v>
      </c>
      <c r="C67" s="10" t="s">
        <v>9</v>
      </c>
      <c r="D67" s="11">
        <v>44650</v>
      </c>
      <c r="E67" s="10" t="s">
        <v>21</v>
      </c>
      <c r="F67" s="9">
        <v>38200</v>
      </c>
      <c r="G67" s="8">
        <v>31.1</v>
      </c>
    </row>
    <row r="68" spans="1:7" x14ac:dyDescent="0.4">
      <c r="A68" s="14" t="s">
        <v>42</v>
      </c>
      <c r="B68" s="14" t="s">
        <v>41</v>
      </c>
      <c r="C68" s="14" t="s">
        <v>5</v>
      </c>
      <c r="D68" s="15">
        <v>43712</v>
      </c>
      <c r="E68" s="14" t="s">
        <v>8</v>
      </c>
      <c r="F68" s="13">
        <v>32600</v>
      </c>
      <c r="G68" s="12">
        <v>31.5</v>
      </c>
    </row>
    <row r="69" spans="1:7" x14ac:dyDescent="0.4">
      <c r="A69" s="10" t="s">
        <v>40</v>
      </c>
      <c r="B69" s="10" t="s">
        <v>39</v>
      </c>
      <c r="C69" s="10" t="s">
        <v>1</v>
      </c>
      <c r="D69" s="11">
        <v>43270</v>
      </c>
      <c r="E69" s="10" t="s">
        <v>38</v>
      </c>
      <c r="F69" s="9">
        <v>76800</v>
      </c>
      <c r="G69" s="8">
        <v>32.700000000000003</v>
      </c>
    </row>
    <row r="70" spans="1:7" x14ac:dyDescent="0.4">
      <c r="A70" s="14" t="s">
        <v>37</v>
      </c>
      <c r="B70" s="14" t="s">
        <v>36</v>
      </c>
      <c r="C70" s="14" t="s">
        <v>13</v>
      </c>
      <c r="D70" s="15">
        <v>44203</v>
      </c>
      <c r="E70" s="14" t="s">
        <v>35</v>
      </c>
      <c r="F70" s="13">
        <v>62300</v>
      </c>
      <c r="G70" s="12">
        <v>33.799999999999997</v>
      </c>
    </row>
    <row r="71" spans="1:7" x14ac:dyDescent="0.4">
      <c r="A71" s="10" t="s">
        <v>34</v>
      </c>
      <c r="B71" s="10" t="s">
        <v>33</v>
      </c>
      <c r="C71" s="10" t="s">
        <v>1</v>
      </c>
      <c r="D71" s="11">
        <v>44068</v>
      </c>
      <c r="E71" s="10" t="s">
        <v>0</v>
      </c>
      <c r="F71" s="9">
        <v>46200</v>
      </c>
      <c r="G71" s="8">
        <v>30.1</v>
      </c>
    </row>
    <row r="72" spans="1:7" x14ac:dyDescent="0.4">
      <c r="A72" s="14" t="s">
        <v>32</v>
      </c>
      <c r="B72" s="14" t="s">
        <v>31</v>
      </c>
      <c r="C72" s="14" t="s">
        <v>9</v>
      </c>
      <c r="D72" s="15">
        <v>44969</v>
      </c>
      <c r="E72" s="14" t="s">
        <v>8</v>
      </c>
      <c r="F72" s="13">
        <v>32500</v>
      </c>
      <c r="G72" s="12">
        <v>63.7</v>
      </c>
    </row>
    <row r="73" spans="1:7" x14ac:dyDescent="0.4">
      <c r="A73" s="10" t="s">
        <v>30</v>
      </c>
      <c r="B73" s="10" t="s">
        <v>29</v>
      </c>
      <c r="C73" s="10" t="s">
        <v>5</v>
      </c>
      <c r="D73" s="11">
        <v>44866</v>
      </c>
      <c r="E73" s="10" t="s">
        <v>4</v>
      </c>
      <c r="F73" s="9">
        <v>43100</v>
      </c>
      <c r="G73" s="8">
        <v>33.799999999999997</v>
      </c>
    </row>
    <row r="74" spans="1:7" x14ac:dyDescent="0.4">
      <c r="A74" s="14" t="s">
        <v>28</v>
      </c>
      <c r="B74" s="14" t="s">
        <v>27</v>
      </c>
      <c r="C74" s="14" t="s">
        <v>1</v>
      </c>
      <c r="D74" s="15">
        <v>43571</v>
      </c>
      <c r="E74" s="14" t="s">
        <v>12</v>
      </c>
      <c r="F74" s="13">
        <v>60000</v>
      </c>
      <c r="G74" s="12">
        <v>28.8</v>
      </c>
    </row>
    <row r="75" spans="1:7" x14ac:dyDescent="0.4">
      <c r="A75" s="10" t="s">
        <v>26</v>
      </c>
      <c r="B75" s="10" t="s">
        <v>25</v>
      </c>
      <c r="C75" s="10" t="s">
        <v>13</v>
      </c>
      <c r="D75" s="11">
        <v>43382</v>
      </c>
      <c r="E75" s="10" t="s">
        <v>24</v>
      </c>
      <c r="F75" s="9">
        <v>82100</v>
      </c>
      <c r="G75" s="8">
        <v>32.700000000000003</v>
      </c>
    </row>
    <row r="76" spans="1:7" x14ac:dyDescent="0.4">
      <c r="A76" s="14" t="s">
        <v>23</v>
      </c>
      <c r="B76" s="14" t="s">
        <v>22</v>
      </c>
      <c r="C76" s="14" t="s">
        <v>9</v>
      </c>
      <c r="D76" s="15">
        <v>45072</v>
      </c>
      <c r="E76" s="14" t="s">
        <v>21</v>
      </c>
      <c r="F76" s="13">
        <v>35900</v>
      </c>
      <c r="G76" s="12">
        <v>29.9</v>
      </c>
    </row>
    <row r="77" spans="1:7" x14ac:dyDescent="0.4">
      <c r="A77" s="10" t="s">
        <v>20</v>
      </c>
      <c r="B77" s="10" t="s">
        <v>19</v>
      </c>
      <c r="C77" s="10" t="s">
        <v>5</v>
      </c>
      <c r="D77" s="11">
        <v>43843</v>
      </c>
      <c r="E77" s="10" t="s">
        <v>8</v>
      </c>
      <c r="F77" s="9">
        <v>31100</v>
      </c>
      <c r="G77" s="8">
        <v>27</v>
      </c>
    </row>
    <row r="78" spans="1:7" x14ac:dyDescent="0.4">
      <c r="A78" s="14" t="s">
        <v>18</v>
      </c>
      <c r="B78" s="14" t="s">
        <v>17</v>
      </c>
      <c r="C78" s="14" t="s">
        <v>1</v>
      </c>
      <c r="D78" s="15">
        <v>43308</v>
      </c>
      <c r="E78" s="14" t="s">
        <v>16</v>
      </c>
      <c r="F78" s="13">
        <v>74200</v>
      </c>
      <c r="G78" s="12">
        <v>30.6</v>
      </c>
    </row>
    <row r="79" spans="1:7" x14ac:dyDescent="0.4">
      <c r="A79" s="10" t="s">
        <v>15</v>
      </c>
      <c r="B79" s="10" t="s">
        <v>14</v>
      </c>
      <c r="C79" s="10" t="s">
        <v>13</v>
      </c>
      <c r="D79" s="11">
        <v>43538</v>
      </c>
      <c r="E79" s="10" t="s">
        <v>12</v>
      </c>
      <c r="F79" s="9">
        <v>57100</v>
      </c>
      <c r="G79" s="8">
        <v>28.7</v>
      </c>
    </row>
    <row r="80" spans="1:7" x14ac:dyDescent="0.4">
      <c r="A80" s="14" t="s">
        <v>11</v>
      </c>
      <c r="B80" s="14" t="s">
        <v>10</v>
      </c>
      <c r="C80" s="14" t="s">
        <v>9</v>
      </c>
      <c r="D80" s="15">
        <v>44832</v>
      </c>
      <c r="E80" s="14" t="s">
        <v>8</v>
      </c>
      <c r="F80" s="13">
        <v>35200</v>
      </c>
      <c r="G80" s="12">
        <v>33.700000000000003</v>
      </c>
    </row>
    <row r="81" spans="1:7" x14ac:dyDescent="0.4">
      <c r="A81" s="10" t="s">
        <v>7</v>
      </c>
      <c r="B81" s="10" t="s">
        <v>6</v>
      </c>
      <c r="C81" s="10" t="s">
        <v>5</v>
      </c>
      <c r="D81" s="11">
        <v>44297</v>
      </c>
      <c r="E81" s="10" t="s">
        <v>4</v>
      </c>
      <c r="F81" s="9">
        <v>42800</v>
      </c>
      <c r="G81" s="8">
        <v>31.2</v>
      </c>
    </row>
    <row r="82" spans="1:7" x14ac:dyDescent="0.4">
      <c r="A82" s="6" t="s">
        <v>3</v>
      </c>
      <c r="B82" s="6" t="s">
        <v>2</v>
      </c>
      <c r="C82" s="6" t="s">
        <v>1</v>
      </c>
      <c r="D82" s="7">
        <v>43856</v>
      </c>
      <c r="E82" s="6" t="s">
        <v>0</v>
      </c>
      <c r="F82" s="5">
        <v>46900</v>
      </c>
      <c r="G82" s="4">
        <v>34.9</v>
      </c>
    </row>
  </sheetData>
  <mergeCells count="3">
    <mergeCell ref="A1:F8"/>
    <mergeCell ref="F24:G24"/>
    <mergeCell ref="O24:P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Practice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Dawoud</dc:creator>
  <cp:lastModifiedBy>David Dawoud</cp:lastModifiedBy>
  <dcterms:created xsi:type="dcterms:W3CDTF">2026-08-03T09:19:34Z</dcterms:created>
  <dcterms:modified xsi:type="dcterms:W3CDTF">2026-08-03T09:20:12Z</dcterms:modified>
</cp:coreProperties>
</file>
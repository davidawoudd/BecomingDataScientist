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comingDataScientist\NTI advanced data analytics\excel\Customers &amp; Orders assignment3\"/>
    </mc:Choice>
  </mc:AlternateContent>
  <xr:revisionPtr revIDLastSave="0" documentId="13_ncr:1_{8290B18A-D09E-46F9-B6B2-95D7BF53C1A4}" xr6:coauthVersionLast="47" xr6:coauthVersionMax="47" xr10:uidLastSave="{00000000-0000-0000-0000-000000000000}"/>
  <bookViews>
    <workbookView xWindow="-108" yWindow="-108" windowWidth="23256" windowHeight="12456" activeTab="1" xr2:uid="{C9C878B0-A70D-45B1-84FE-482EC4C69517}"/>
  </bookViews>
  <sheets>
    <sheet name="Sheet1" sheetId="1" r:id="rId1"/>
    <sheet name="dashboard" sheetId="3" r:id="rId2"/>
  </sheets>
  <calcPr calcId="191029"/>
  <pivotCaches>
    <pivotCache cacheId="94" r:id="rId3"/>
    <pivotCache cacheId="9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829f7377-5124-4ae6-8b9b-44b231902580" name="Customers" connection="Excel Customers"/>
          <x15:modelTable id="Table2_bc3e67b9-0233-436d-85bd-2987516e1061" name="Orders" connection="Excel Orders"/>
          <x15:modelTable id="Table1_0196f923-19b1-4714-97a0-75bdbc364ab3" name="Products" connection="Excel Products-1"/>
        </x15:modelTables>
        <x15:modelRelationships>
          <x15:modelRelationship fromTable="Orders" fromColumn="CustomerID" toTable="Customers" toColumn="CustomerID"/>
          <x15:modelRelationship fromTable="Orders" fromColumn="ProductID" toTable="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6" i="1" l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56954-8929-48C2-97A2-CA2400F1FFA0}" name="Excel Customers" type="100" refreshedVersion="8">
    <extLst>
      <ext xmlns:x15="http://schemas.microsoft.com/office/spreadsheetml/2010/11/main" uri="{DE250136-89BD-433C-8126-D09CA5730AF9}">
        <x15:connection id="f9d8a94b-d0d7-4df4-9fa5-36609eff88f1"/>
      </ext>
    </extLst>
  </connection>
  <connection id="2" xr16:uid="{00BFBACE-32C5-457A-B164-B1B206827001}" name="Excel Orders" type="100" refreshedVersion="8">
    <extLst>
      <ext xmlns:x15="http://schemas.microsoft.com/office/spreadsheetml/2010/11/main" uri="{DE250136-89BD-433C-8126-D09CA5730AF9}">
        <x15:connection id="a338f323-8e3c-4c7a-974a-6ef678d04db1"/>
      </ext>
    </extLst>
  </connection>
  <connection id="3" xr16:uid="{57904966-4F38-46E9-92CD-D37593DCDCE6}" name="Excel Products-1" type="100" refreshedVersion="8">
    <extLst>
      <ext xmlns:x15="http://schemas.microsoft.com/office/spreadsheetml/2010/11/main" uri="{DE250136-89BD-433C-8126-D09CA5730AF9}">
        <x15:connection id="ef39f056-5d3a-4fb7-ae93-1270effbf7c3"/>
      </ext>
    </extLst>
  </connection>
  <connection id="4" xr16:uid="{B1BC5FCD-1C3F-4EEC-9C3A-AAB9038306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<sst xmlns="http://schemas.openxmlformats.org/spreadsheetml/2006/main" count="44" uniqueCount="27">
  <si>
    <t>Egypt</t>
  </si>
  <si>
    <t>Iraq</t>
  </si>
  <si>
    <t>Saudi Arabia</t>
  </si>
  <si>
    <t>Syria</t>
  </si>
  <si>
    <t>United Arab Emirates</t>
  </si>
  <si>
    <t>(blank)</t>
  </si>
  <si>
    <t>Grand Total</t>
  </si>
  <si>
    <t>Bag</t>
  </si>
  <si>
    <t>Belt</t>
  </si>
  <si>
    <t>Coat</t>
  </si>
  <si>
    <t>Dress</t>
  </si>
  <si>
    <t>Glasses</t>
  </si>
  <si>
    <t>Hat</t>
  </si>
  <si>
    <t>high heel shoes</t>
  </si>
  <si>
    <t>Jeans</t>
  </si>
  <si>
    <t>Shoes</t>
  </si>
  <si>
    <t>Skirt</t>
  </si>
  <si>
    <t>Suit</t>
  </si>
  <si>
    <t>Tie</t>
  </si>
  <si>
    <t>T-Shirt</t>
  </si>
  <si>
    <t>Wallet</t>
  </si>
  <si>
    <t>Sum of Quantity</t>
  </si>
  <si>
    <t>Country</t>
  </si>
  <si>
    <t>Item</t>
  </si>
  <si>
    <t>Sum of Unit Cost</t>
  </si>
  <si>
    <t>Sum of Unit Price</t>
  </si>
  <si>
    <t>Profit of each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</si>
</sst>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39">
    <dxf>
      <numFmt numFmtId="1" formatCode="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Dashboard 2.xlsx]Sheet1!PivotTable1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Sheet1!$D$4:$D$5</c:f>
              <c:strCache>
                <c:ptCount val="1"/>
                <c:pt idx="0">
                  <c:v>Egypt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Sheet1!$C$6:$C$20</c:f>
              <c:strCache>
                <c:ptCount val="14"/>
                <c:pt idx="0">
                  <c:v>Bag</c:v>
                </c:pt>
                <c:pt idx="1">
                  <c:v>Belt</c:v>
                </c:pt>
                <c:pt idx="2">
                  <c:v>Coat</c:v>
                </c:pt>
                <c:pt idx="3">
                  <c:v>Dress</c:v>
                </c:pt>
                <c:pt idx="4">
                  <c:v>Glasses</c:v>
                </c:pt>
                <c:pt idx="5">
                  <c:v>Hat</c:v>
                </c:pt>
                <c:pt idx="6">
                  <c:v>high heel shoes</c:v>
                </c:pt>
                <c:pt idx="7">
                  <c:v>Jeans</c:v>
                </c:pt>
                <c:pt idx="8">
                  <c:v>Shoes</c:v>
                </c:pt>
                <c:pt idx="9">
                  <c:v>Skirt</c:v>
                </c:pt>
                <c:pt idx="10">
                  <c:v>Suit</c:v>
                </c:pt>
                <c:pt idx="11">
                  <c:v>Tie</c:v>
                </c:pt>
                <c:pt idx="12">
                  <c:v>T-Shirt</c:v>
                </c:pt>
                <c:pt idx="13">
                  <c:v>Wallet</c:v>
                </c:pt>
              </c:strCache>
            </c:strRef>
          </c:cat>
          <c:val>
            <c:numRef>
              <c:f>Sheet1!$D$6:$D$20</c:f>
              <c:numCache>
                <c:formatCode>General</c:formatCode>
                <c:ptCount val="14"/>
                <c:pt idx="0">
                  <c:v>128</c:v>
                </c:pt>
                <c:pt idx="1">
                  <c:v>58</c:v>
                </c:pt>
                <c:pt idx="2">
                  <c:v>29</c:v>
                </c:pt>
                <c:pt idx="3">
                  <c:v>21</c:v>
                </c:pt>
                <c:pt idx="5">
                  <c:v>36</c:v>
                </c:pt>
                <c:pt idx="6">
                  <c:v>44</c:v>
                </c:pt>
                <c:pt idx="7">
                  <c:v>135</c:v>
                </c:pt>
                <c:pt idx="8">
                  <c:v>66</c:v>
                </c:pt>
                <c:pt idx="9">
                  <c:v>31</c:v>
                </c:pt>
                <c:pt idx="10">
                  <c:v>70</c:v>
                </c:pt>
                <c:pt idx="11">
                  <c:v>110</c:v>
                </c:pt>
                <c:pt idx="12">
                  <c:v>72</c:v>
                </c:pt>
                <c:pt idx="1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0-4B13-B3F2-BD64BEFE8915}"/>
            </c:ext>
          </c:extLst>
        </c:ser>
        <c:ser>
          <c:idx val="1"/>
          <c:order val="1"/>
          <c:tx>
            <c:strRef>
              <c:f>Sheet1!$E$4:$E$5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Sheet1!$C$6:$C$20</c:f>
              <c:strCache>
                <c:ptCount val="14"/>
                <c:pt idx="0">
                  <c:v>Bag</c:v>
                </c:pt>
                <c:pt idx="1">
                  <c:v>Belt</c:v>
                </c:pt>
                <c:pt idx="2">
                  <c:v>Coat</c:v>
                </c:pt>
                <c:pt idx="3">
                  <c:v>Dress</c:v>
                </c:pt>
                <c:pt idx="4">
                  <c:v>Glasses</c:v>
                </c:pt>
                <c:pt idx="5">
                  <c:v>Hat</c:v>
                </c:pt>
                <c:pt idx="6">
                  <c:v>high heel shoes</c:v>
                </c:pt>
                <c:pt idx="7">
                  <c:v>Jeans</c:v>
                </c:pt>
                <c:pt idx="8">
                  <c:v>Shoes</c:v>
                </c:pt>
                <c:pt idx="9">
                  <c:v>Skirt</c:v>
                </c:pt>
                <c:pt idx="10">
                  <c:v>Suit</c:v>
                </c:pt>
                <c:pt idx="11">
                  <c:v>Tie</c:v>
                </c:pt>
                <c:pt idx="12">
                  <c:v>T-Shirt</c:v>
                </c:pt>
                <c:pt idx="13">
                  <c:v>Wallet</c:v>
                </c:pt>
              </c:strCache>
            </c:strRef>
          </c:cat>
          <c:val>
            <c:numRef>
              <c:f>Sheet1!$E$6:$E$20</c:f>
              <c:numCache>
                <c:formatCode>General</c:formatCode>
                <c:ptCount val="14"/>
                <c:pt idx="0">
                  <c:v>159</c:v>
                </c:pt>
                <c:pt idx="1">
                  <c:v>59</c:v>
                </c:pt>
                <c:pt idx="2">
                  <c:v>40</c:v>
                </c:pt>
                <c:pt idx="3">
                  <c:v>26</c:v>
                </c:pt>
                <c:pt idx="4">
                  <c:v>19</c:v>
                </c:pt>
                <c:pt idx="5">
                  <c:v>38</c:v>
                </c:pt>
                <c:pt idx="6">
                  <c:v>41</c:v>
                </c:pt>
                <c:pt idx="7">
                  <c:v>154</c:v>
                </c:pt>
                <c:pt idx="8">
                  <c:v>93</c:v>
                </c:pt>
                <c:pt idx="9">
                  <c:v>41</c:v>
                </c:pt>
                <c:pt idx="10">
                  <c:v>64</c:v>
                </c:pt>
                <c:pt idx="11">
                  <c:v>143</c:v>
                </c:pt>
                <c:pt idx="12">
                  <c:v>86</c:v>
                </c:pt>
                <c:pt idx="1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0-4B13-B3F2-BD64BEFE8915}"/>
            </c:ext>
          </c:extLst>
        </c:ser>
        <c:ser>
          <c:idx val="2"/>
          <c:order val="2"/>
          <c:tx>
            <c:strRef>
              <c:f>Sheet1!$F$4:$F$5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Sheet1!$C$6:$C$20</c:f>
              <c:strCache>
                <c:ptCount val="14"/>
                <c:pt idx="0">
                  <c:v>Bag</c:v>
                </c:pt>
                <c:pt idx="1">
                  <c:v>Belt</c:v>
                </c:pt>
                <c:pt idx="2">
                  <c:v>Coat</c:v>
                </c:pt>
                <c:pt idx="3">
                  <c:v>Dress</c:v>
                </c:pt>
                <c:pt idx="4">
                  <c:v>Glasses</c:v>
                </c:pt>
                <c:pt idx="5">
                  <c:v>Hat</c:v>
                </c:pt>
                <c:pt idx="6">
                  <c:v>high heel shoes</c:v>
                </c:pt>
                <c:pt idx="7">
                  <c:v>Jeans</c:v>
                </c:pt>
                <c:pt idx="8">
                  <c:v>Shoes</c:v>
                </c:pt>
                <c:pt idx="9">
                  <c:v>Skirt</c:v>
                </c:pt>
                <c:pt idx="10">
                  <c:v>Suit</c:v>
                </c:pt>
                <c:pt idx="11">
                  <c:v>Tie</c:v>
                </c:pt>
                <c:pt idx="12">
                  <c:v>T-Shirt</c:v>
                </c:pt>
                <c:pt idx="13">
                  <c:v>Wallet</c:v>
                </c:pt>
              </c:strCache>
            </c:strRef>
          </c:cat>
          <c:val>
            <c:numRef>
              <c:f>Sheet1!$F$6:$F$20</c:f>
              <c:numCache>
                <c:formatCode>General</c:formatCode>
                <c:ptCount val="14"/>
                <c:pt idx="0">
                  <c:v>347</c:v>
                </c:pt>
                <c:pt idx="1">
                  <c:v>154</c:v>
                </c:pt>
                <c:pt idx="2">
                  <c:v>112</c:v>
                </c:pt>
                <c:pt idx="3">
                  <c:v>115</c:v>
                </c:pt>
                <c:pt idx="4">
                  <c:v>10</c:v>
                </c:pt>
                <c:pt idx="5">
                  <c:v>106</c:v>
                </c:pt>
                <c:pt idx="6">
                  <c:v>184</c:v>
                </c:pt>
                <c:pt idx="7">
                  <c:v>459</c:v>
                </c:pt>
                <c:pt idx="8">
                  <c:v>190</c:v>
                </c:pt>
                <c:pt idx="9">
                  <c:v>68</c:v>
                </c:pt>
                <c:pt idx="10">
                  <c:v>214</c:v>
                </c:pt>
                <c:pt idx="11">
                  <c:v>395</c:v>
                </c:pt>
                <c:pt idx="12">
                  <c:v>249</c:v>
                </c:pt>
                <c:pt idx="13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C0-4B13-B3F2-BD64BEFE8915}"/>
            </c:ext>
          </c:extLst>
        </c:ser>
        <c:ser>
          <c:idx val="3"/>
          <c:order val="3"/>
          <c:tx>
            <c:strRef>
              <c:f>Sheet1!$G$4:$G$5</c:f>
              <c:strCache>
                <c:ptCount val="1"/>
                <c:pt idx="0">
                  <c:v>Syria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Sheet1!$C$6:$C$20</c:f>
              <c:strCache>
                <c:ptCount val="14"/>
                <c:pt idx="0">
                  <c:v>Bag</c:v>
                </c:pt>
                <c:pt idx="1">
                  <c:v>Belt</c:v>
                </c:pt>
                <c:pt idx="2">
                  <c:v>Coat</c:v>
                </c:pt>
                <c:pt idx="3">
                  <c:v>Dress</c:v>
                </c:pt>
                <c:pt idx="4">
                  <c:v>Glasses</c:v>
                </c:pt>
                <c:pt idx="5">
                  <c:v>Hat</c:v>
                </c:pt>
                <c:pt idx="6">
                  <c:v>high heel shoes</c:v>
                </c:pt>
                <c:pt idx="7">
                  <c:v>Jeans</c:v>
                </c:pt>
                <c:pt idx="8">
                  <c:v>Shoes</c:v>
                </c:pt>
                <c:pt idx="9">
                  <c:v>Skirt</c:v>
                </c:pt>
                <c:pt idx="10">
                  <c:v>Suit</c:v>
                </c:pt>
                <c:pt idx="11">
                  <c:v>Tie</c:v>
                </c:pt>
                <c:pt idx="12">
                  <c:v>T-Shirt</c:v>
                </c:pt>
                <c:pt idx="13">
                  <c:v>Wallet</c:v>
                </c:pt>
              </c:strCache>
            </c:strRef>
          </c:cat>
          <c:val>
            <c:numRef>
              <c:f>Sheet1!$G$6:$G$20</c:f>
              <c:numCache>
                <c:formatCode>General</c:formatCode>
                <c:ptCount val="14"/>
                <c:pt idx="0">
                  <c:v>234</c:v>
                </c:pt>
                <c:pt idx="1">
                  <c:v>124</c:v>
                </c:pt>
                <c:pt idx="2">
                  <c:v>107</c:v>
                </c:pt>
                <c:pt idx="3">
                  <c:v>79</c:v>
                </c:pt>
                <c:pt idx="4">
                  <c:v>5</c:v>
                </c:pt>
                <c:pt idx="5">
                  <c:v>58</c:v>
                </c:pt>
                <c:pt idx="6">
                  <c:v>130</c:v>
                </c:pt>
                <c:pt idx="7">
                  <c:v>324</c:v>
                </c:pt>
                <c:pt idx="8">
                  <c:v>157</c:v>
                </c:pt>
                <c:pt idx="9">
                  <c:v>40</c:v>
                </c:pt>
                <c:pt idx="10">
                  <c:v>123</c:v>
                </c:pt>
                <c:pt idx="11">
                  <c:v>249</c:v>
                </c:pt>
                <c:pt idx="12">
                  <c:v>177</c:v>
                </c:pt>
                <c:pt idx="1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C0-4B13-B3F2-BD64BEFE8915}"/>
            </c:ext>
          </c:extLst>
        </c:ser>
        <c:ser>
          <c:idx val="4"/>
          <c:order val="4"/>
          <c:tx>
            <c:strRef>
              <c:f>Sheet1!$H$4:$H$5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Sheet1!$C$6:$C$20</c:f>
              <c:strCache>
                <c:ptCount val="14"/>
                <c:pt idx="0">
                  <c:v>Bag</c:v>
                </c:pt>
                <c:pt idx="1">
                  <c:v>Belt</c:v>
                </c:pt>
                <c:pt idx="2">
                  <c:v>Coat</c:v>
                </c:pt>
                <c:pt idx="3">
                  <c:v>Dress</c:v>
                </c:pt>
                <c:pt idx="4">
                  <c:v>Glasses</c:v>
                </c:pt>
                <c:pt idx="5">
                  <c:v>Hat</c:v>
                </c:pt>
                <c:pt idx="6">
                  <c:v>high heel shoes</c:v>
                </c:pt>
                <c:pt idx="7">
                  <c:v>Jeans</c:v>
                </c:pt>
                <c:pt idx="8">
                  <c:v>Shoes</c:v>
                </c:pt>
                <c:pt idx="9">
                  <c:v>Skirt</c:v>
                </c:pt>
                <c:pt idx="10">
                  <c:v>Suit</c:v>
                </c:pt>
                <c:pt idx="11">
                  <c:v>Tie</c:v>
                </c:pt>
                <c:pt idx="12">
                  <c:v>T-Shirt</c:v>
                </c:pt>
                <c:pt idx="13">
                  <c:v>Wallet</c:v>
                </c:pt>
              </c:strCache>
            </c:strRef>
          </c:cat>
          <c:val>
            <c:numRef>
              <c:f>Sheet1!$H$6:$H$20</c:f>
              <c:numCache>
                <c:formatCode>General</c:formatCode>
                <c:ptCount val="14"/>
                <c:pt idx="0">
                  <c:v>166</c:v>
                </c:pt>
                <c:pt idx="1">
                  <c:v>88</c:v>
                </c:pt>
                <c:pt idx="2">
                  <c:v>49</c:v>
                </c:pt>
                <c:pt idx="3">
                  <c:v>78</c:v>
                </c:pt>
                <c:pt idx="4">
                  <c:v>11</c:v>
                </c:pt>
                <c:pt idx="5">
                  <c:v>75</c:v>
                </c:pt>
                <c:pt idx="6">
                  <c:v>70</c:v>
                </c:pt>
                <c:pt idx="7">
                  <c:v>228</c:v>
                </c:pt>
                <c:pt idx="8">
                  <c:v>76</c:v>
                </c:pt>
                <c:pt idx="9">
                  <c:v>38</c:v>
                </c:pt>
                <c:pt idx="10">
                  <c:v>113</c:v>
                </c:pt>
                <c:pt idx="11">
                  <c:v>233</c:v>
                </c:pt>
                <c:pt idx="12">
                  <c:v>130</c:v>
                </c:pt>
                <c:pt idx="1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C0-4B13-B3F2-BD64BEFE8915}"/>
            </c:ext>
          </c:extLst>
        </c:ser>
        <c:ser>
          <c:idx val="5"/>
          <c:order val="5"/>
          <c:tx>
            <c:strRef>
              <c:f>Sheet1!$I$4:$I$5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Sheet1!$C$6:$C$20</c:f>
              <c:strCache>
                <c:ptCount val="14"/>
                <c:pt idx="0">
                  <c:v>Bag</c:v>
                </c:pt>
                <c:pt idx="1">
                  <c:v>Belt</c:v>
                </c:pt>
                <c:pt idx="2">
                  <c:v>Coat</c:v>
                </c:pt>
                <c:pt idx="3">
                  <c:v>Dress</c:v>
                </c:pt>
                <c:pt idx="4">
                  <c:v>Glasses</c:v>
                </c:pt>
                <c:pt idx="5">
                  <c:v>Hat</c:v>
                </c:pt>
                <c:pt idx="6">
                  <c:v>high heel shoes</c:v>
                </c:pt>
                <c:pt idx="7">
                  <c:v>Jeans</c:v>
                </c:pt>
                <c:pt idx="8">
                  <c:v>Shoes</c:v>
                </c:pt>
                <c:pt idx="9">
                  <c:v>Skirt</c:v>
                </c:pt>
                <c:pt idx="10">
                  <c:v>Suit</c:v>
                </c:pt>
                <c:pt idx="11">
                  <c:v>Tie</c:v>
                </c:pt>
                <c:pt idx="12">
                  <c:v>T-Shirt</c:v>
                </c:pt>
                <c:pt idx="13">
                  <c:v>Wallet</c:v>
                </c:pt>
              </c:strCache>
            </c:strRef>
          </c:cat>
          <c:val>
            <c:numRef>
              <c:f>Sheet1!$I$6:$I$20</c:f>
              <c:numCache>
                <c:formatCode>General</c:formatCode>
                <c:ptCount val="1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C0-4B13-B3F2-BD64BEFE8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158000"/>
        <c:axId val="1266126480"/>
      </c:barChart>
      <c:catAx>
        <c:axId val="15641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26480"/>
        <c:crosses val="autoZero"/>
        <c:auto val="1"/>
        <c:lblAlgn val="ctr"/>
        <c:lblOffset val="100"/>
        <c:noMultiLvlLbl val="0"/>
      </c:catAx>
      <c:valAx>
        <c:axId val="12661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Dashboard 2.xlsx]Sheet1!PivotTable2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Sheet1!$E$41</c:f>
              <c:strCache>
                <c:ptCount val="1"/>
                <c:pt idx="0">
                  <c:v>Sum of Unit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Sheet1!$D$42:$D$56</c:f>
              <c:strCache>
                <c:ptCount val="14"/>
                <c:pt idx="0">
                  <c:v>Bag</c:v>
                </c:pt>
                <c:pt idx="1">
                  <c:v>Belt</c:v>
                </c:pt>
                <c:pt idx="2">
                  <c:v>Coat</c:v>
                </c:pt>
                <c:pt idx="3">
                  <c:v>Dress</c:v>
                </c:pt>
                <c:pt idx="4">
                  <c:v>Glasses</c:v>
                </c:pt>
                <c:pt idx="5">
                  <c:v>Hat</c:v>
                </c:pt>
                <c:pt idx="6">
                  <c:v>high heel shoes</c:v>
                </c:pt>
                <c:pt idx="7">
                  <c:v>Jeans</c:v>
                </c:pt>
                <c:pt idx="8">
                  <c:v>Shoes</c:v>
                </c:pt>
                <c:pt idx="9">
                  <c:v>Skirt</c:v>
                </c:pt>
                <c:pt idx="10">
                  <c:v>Suit</c:v>
                </c:pt>
                <c:pt idx="11">
                  <c:v>Tie</c:v>
                </c:pt>
                <c:pt idx="12">
                  <c:v>T-Shirt</c:v>
                </c:pt>
                <c:pt idx="13">
                  <c:v>Wallet</c:v>
                </c:pt>
              </c:strCache>
            </c:strRef>
          </c:cat>
          <c:val>
            <c:numRef>
              <c:f>Sheet1!$E$42:$E$56</c:f>
              <c:numCache>
                <c:formatCode>0</c:formatCode>
                <c:ptCount val="14"/>
                <c:pt idx="0">
                  <c:v>616541.09999999974</c:v>
                </c:pt>
                <c:pt idx="1">
                  <c:v>283054.79999999981</c:v>
                </c:pt>
                <c:pt idx="2">
                  <c:v>259636.30000000008</c:v>
                </c:pt>
                <c:pt idx="3">
                  <c:v>178021.19999999995</c:v>
                </c:pt>
                <c:pt idx="4">
                  <c:v>31062.500000000004</c:v>
                </c:pt>
                <c:pt idx="5">
                  <c:v>175473.2</c:v>
                </c:pt>
                <c:pt idx="6">
                  <c:v>288072.39999999979</c:v>
                </c:pt>
                <c:pt idx="7">
                  <c:v>704504.50000000023</c:v>
                </c:pt>
                <c:pt idx="8">
                  <c:v>290777.90000000008</c:v>
                </c:pt>
                <c:pt idx="9">
                  <c:v>131544.69999999998</c:v>
                </c:pt>
                <c:pt idx="10">
                  <c:v>289316.30000000005</c:v>
                </c:pt>
                <c:pt idx="11">
                  <c:v>603781.50000000012</c:v>
                </c:pt>
                <c:pt idx="12">
                  <c:v>377895.70000000007</c:v>
                </c:pt>
                <c:pt idx="13">
                  <c:v>192795.39999999994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9-4FCB-A393-7E8C9AE677BB}"/>
            </c:ext>
          </c:extLst>
        </c:ser>
        <c:ser>
          <c:idx val="1"/>
          <c:order val="1"/>
          <c:tx>
            <c:strRef>
              <c:f>Sheet1!$F$41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Sheet1!$D$42:$D$56</c:f>
              <c:strCache>
                <c:ptCount val="14"/>
                <c:pt idx="0">
                  <c:v>Bag</c:v>
                </c:pt>
                <c:pt idx="1">
                  <c:v>Belt</c:v>
                </c:pt>
                <c:pt idx="2">
                  <c:v>Coat</c:v>
                </c:pt>
                <c:pt idx="3">
                  <c:v>Dress</c:v>
                </c:pt>
                <c:pt idx="4">
                  <c:v>Glasses</c:v>
                </c:pt>
                <c:pt idx="5">
                  <c:v>Hat</c:v>
                </c:pt>
                <c:pt idx="6">
                  <c:v>high heel shoes</c:v>
                </c:pt>
                <c:pt idx="7">
                  <c:v>Jeans</c:v>
                </c:pt>
                <c:pt idx="8">
                  <c:v>Shoes</c:v>
                </c:pt>
                <c:pt idx="9">
                  <c:v>Skirt</c:v>
                </c:pt>
                <c:pt idx="10">
                  <c:v>Suit</c:v>
                </c:pt>
                <c:pt idx="11">
                  <c:v>Tie</c:v>
                </c:pt>
                <c:pt idx="12">
                  <c:v>T-Shirt</c:v>
                </c:pt>
                <c:pt idx="13">
                  <c:v>Wallet</c:v>
                </c:pt>
              </c:strCache>
            </c:strRef>
          </c:cat>
          <c:val>
            <c:numRef>
              <c:f>Sheet1!$F$42:$F$56</c:f>
              <c:numCache>
                <c:formatCode>General</c:formatCode>
                <c:ptCount val="14"/>
                <c:pt idx="0">
                  <c:v>880773</c:v>
                </c:pt>
                <c:pt idx="1">
                  <c:v>404364</c:v>
                </c:pt>
                <c:pt idx="2">
                  <c:v>370909</c:v>
                </c:pt>
                <c:pt idx="3">
                  <c:v>254316</c:v>
                </c:pt>
                <c:pt idx="4">
                  <c:v>44375</c:v>
                </c:pt>
                <c:pt idx="5">
                  <c:v>250676</c:v>
                </c:pt>
                <c:pt idx="6">
                  <c:v>411532</c:v>
                </c:pt>
                <c:pt idx="7">
                  <c:v>1006435</c:v>
                </c:pt>
                <c:pt idx="8">
                  <c:v>415397</c:v>
                </c:pt>
                <c:pt idx="9">
                  <c:v>187921</c:v>
                </c:pt>
                <c:pt idx="10">
                  <c:v>413309</c:v>
                </c:pt>
                <c:pt idx="11">
                  <c:v>862545</c:v>
                </c:pt>
                <c:pt idx="12">
                  <c:v>539851</c:v>
                </c:pt>
                <c:pt idx="13">
                  <c:v>275422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19-4FCB-A393-7E8C9AE67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4231776"/>
        <c:axId val="1266138960"/>
      </c:barChart>
      <c:catAx>
        <c:axId val="156423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38960"/>
        <c:crosses val="autoZero"/>
        <c:auto val="1"/>
        <c:lblAlgn val="ctr"/>
        <c:lblOffset val="100"/>
        <c:noMultiLvlLbl val="0"/>
      </c:catAx>
      <c:valAx>
        <c:axId val="12661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3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441960</xdr:colOff>
      <xdr:row>0</xdr:row>
      <xdr:rowOff>83820</xdr:rowOff>
    </xdr:from>
    <xdr:to>
      <xdr:col>15</xdr:col>
      <xdr:colOff>556260</xdr:colOff>
      <xdr:row>6</xdr:row>
      <xdr:rowOff>91440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BC5B457-D6C5-2EA7-12E3-F3FD3961A1E0}"/>
            </a:ext>
          </a:extLst>
        </xdr:cNvPr>
        <xdr:cNvSpPr/>
      </xdr:nvSpPr>
      <xdr:spPr>
        <a:xfrm>
          <a:off x="4709160" y="83820"/>
          <a:ext cx="4991100" cy="1104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5400"/>
            <a:t>Sales Dashboard</a:t>
          </a:r>
        </a:p>
      </xdr:txBody>
    </xdr:sp>
    <xdr:clientData/>
  </xdr:twoCellAnchor>
  <xdr:twoCellAnchor>
    <xdr:from>
      <xdr:col>1</xdr:col>
      <xdr:colOff>500380</xdr:colOff>
      <xdr:row>10</xdr:row>
      <xdr:rowOff>76200</xdr:rowOff>
    </xdr:from>
    <xdr:to>
      <xdr:col>9</xdr:col>
      <xdr:colOff>439420</xdr:colOff>
      <xdr:row>26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38EED3-9FA1-436F-A3F1-528289006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381000</xdr:colOff>
      <xdr:row>10</xdr:row>
      <xdr:rowOff>43180</xdr:rowOff>
    </xdr:from>
    <xdr:to>
      <xdr:col>20</xdr:col>
      <xdr:colOff>86360</xdr:colOff>
      <xdr:row>26</xdr:row>
      <xdr:rowOff>27940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CC469E-AFE5-4D86-B444-FCB9AA716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Dawoud" refreshedDate="46239.634681828706" backgroundQuery="1" createdVersion="8" refreshedVersion="8" minRefreshableVersion="3" recordCount="0" supportSubquery="1" supportAdvancedDrill="1" xr:uid="{98C761A6-5C46-431D-9562-3C642A312778}">
  <cacheSource type="external" connectionId="4"/>
  <cacheFields count="3">
    <cacheField name="[Customers].[Country].[Country]" caption="Country" numFmtId="0" hierarchy="4" level="1">
      <sharedItems containsBlank="1" count="6">
        <s v="Egypt"/>
        <s v="Iraq"/>
        <s v="Saudi Arabia"/>
        <s v="Syria"/>
        <s v="United Arab Emirates"/>
        <m/>
      </sharedItems>
    </cacheField>
    <cacheField name="[Products].[Item].[Item]" caption="Item" numFmtId="0" hierarchy="22" level="1">
      <sharedItems count="14">
        <s v="Bag"/>
        <s v="Belt"/>
        <s v="Coat"/>
        <s v="Dress"/>
        <s v="Glasses"/>
        <s v="Hat"/>
        <s v="high heel shoes"/>
        <s v="Jeans"/>
        <s v="Shoes"/>
        <s v="Skirt"/>
        <s v="Suit"/>
        <s v="Tie"/>
        <s v="T-Shirt"/>
        <s v="Wallet"/>
      </sharedItems>
    </cacheField>
    <cacheField name="[Measures].[Sum of Quantity]" caption="Sum of Quantity" numFmtId="0" hierarchy="30" level="32767"/>
  </cacheFields>
  <cacheHierarchies count="3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5" unbalanced="0"/>
    <cacheHierarchy uniqueName="[Customers].[Country]" caption="Country" attribute="1" defaultMemberUniqueName="[Customers].[Country].[All]" allUniqueName="[Customers].[Countr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ate]" caption="Rate" attribute="1" defaultMemberUniqueName="[Customers].[Rate].[All]" allUniqueName="[Customers].[Rate].[All]" dimensionUniqueName="[Customers]" displayFolder="" count="0" memberValueDatatype="5" unbalanced="0"/>
    <cacheHierarchy uniqueName="[Customers].[MonyTransfere]" caption="MonyTransfere" attribute="1" defaultMemberUniqueName="[Customers].[MonyTransfere].[All]" allUniqueName="[Customers].[MonyTransfer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5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5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ales Man]" caption="Sales Man" attribute="1" defaultMemberUniqueName="[Orders].[Sales Man].[All]" allUniqueName="[Orders].[Sales Man].[All]" dimensionUniqueName="[Orders]" displayFolder="" count="0" memberValueDatatype="5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Delivery Time]" caption="Delivery Time" attribute="1" defaultMemberUniqueName="[Orders].[Delivery Time].[All]" allUniqueName="[Orders].[Delivery Time].[All]" dimensionUniqueName="[Orders]" displayFolder="" count="0" memberValueDatatype="5" unbalanced="0"/>
    <cacheHierarchy uniqueName="[Orders].[Status]" caption="Status" attribute="1" defaultMemberUniqueName="[Orders].[Status].[All]" allUniqueName="[Orders].[Status].[All]" dimensionUniqueName="[Orders]" displayFolder="" count="0" memberValueDatatype="11" unbalanced="0"/>
    <cacheHierarchy uniqueName="[Orders].[Total order value]" caption="Total order value" attribute="1" defaultMemberUniqueName="[Orders].[Total order value].[All]" allUniqueName="[Orders].[Total order value].[All]" dimensionUniqueName="[Orders]" displayFolder="" count="0" memberValueDatatype="5" unbalanced="0"/>
    <cacheHierarchy uniqueName="[Orders].[Unit Cost]" caption="Unit Cost" attribute="1" defaultMemberUniqueName="[Orders].[Unit Cost].[All]" allUniqueName="[Orders].[Unit Cost].[All]" dimensionUniqueName="[Orders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5" unbalanced="0"/>
    <cacheHierarchy uniqueName="[Products].[Item]" caption="Item" attribute="1" defaultMemberUniqueName="[Products].[Item].[All]" allUniqueName="[Products].[Item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Unit Cost]" caption="Unit Cost" attribute="1" defaultMemberUniqueName="[Products].[Unit Cost].[All]" allUniqueName="[Products].[Unit Cost].[All]" dimensionUniqueName="[Products]" displayFolder="" count="0" memberValueDatatype="5" unbalanced="0"/>
    <cacheHierarchy uniqueName="[Measures].[__XL_Count Customers]" caption="__XL_Count Customers" measure="1" displayFolder="" measureGroup="Customers" count="0" hidden="1"/>
    <cacheHierarchy uniqueName="[Measures].[__XL_Count Table2]" caption="__XL_Count Table2" measure="1" displayFolder="" measureGroup="Orders" count="0" hidden="1"/>
    <cacheHierarchy uniqueName="[Measures].[__XL_Count Table1]" caption="__XL_Count Table1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 Cost]" caption="Sum of Unit Cost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 Price]" caption="Sum of Unit Price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Dawoud" refreshedDate="46239.637254629626" backgroundQuery="1" createdVersion="8" refreshedVersion="8" minRefreshableVersion="3" recordCount="0" supportSubquery="1" supportAdvancedDrill="1" xr:uid="{E3DDF537-9654-42E0-9FF5-809D929BD354}">
  <cacheSource type="external" connectionId="4"/>
  <cacheFields count="3">
    <cacheField name="[Measures].[Sum of Unit Cost]" caption="Sum of Unit Cost" numFmtId="0" hierarchy="31" level="32767"/>
    <cacheField name="[Products].[Item].[Item]" caption="Item" numFmtId="0" hierarchy="22" level="1">
      <sharedItems count="14">
        <s v="Bag"/>
        <s v="Belt"/>
        <s v="Coat"/>
        <s v="Dress"/>
        <s v="Glasses"/>
        <s v="Hat"/>
        <s v="high heel shoes"/>
        <s v="Jeans"/>
        <s v="Shoes"/>
        <s v="Skirt"/>
        <s v="Suit"/>
        <s v="Tie"/>
        <s v="T-Shirt"/>
        <s v="Wallet"/>
      </sharedItems>
    </cacheField>
    <cacheField name="[Measures].[Sum of Unit Price]" caption="Sum of Unit Price" numFmtId="0" hierarchy="32" level="32767"/>
  </cacheFields>
  <cacheHierarchies count="3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5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ate]" caption="Rate" attribute="1" defaultMemberUniqueName="[Customers].[Rate].[All]" allUniqueName="[Customers].[Rate].[All]" dimensionUniqueName="[Customers]" displayFolder="" count="0" memberValueDatatype="5" unbalanced="0"/>
    <cacheHierarchy uniqueName="[Customers].[MonyTransfere]" caption="MonyTransfere" attribute="1" defaultMemberUniqueName="[Customers].[MonyTransfere].[All]" allUniqueName="[Customers].[MonyTransfer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5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5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ales Man]" caption="Sales Man" attribute="1" defaultMemberUniqueName="[Orders].[Sales Man].[All]" allUniqueName="[Orders].[Sales Man].[All]" dimensionUniqueName="[Orders]" displayFolder="" count="0" memberValueDatatype="5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Delivery Time]" caption="Delivery Time" attribute="1" defaultMemberUniqueName="[Orders].[Delivery Time].[All]" allUniqueName="[Orders].[Delivery Time].[All]" dimensionUniqueName="[Orders]" displayFolder="" count="0" memberValueDatatype="5" unbalanced="0"/>
    <cacheHierarchy uniqueName="[Orders].[Status]" caption="Status" attribute="1" defaultMemberUniqueName="[Orders].[Status].[All]" allUniqueName="[Orders].[Status].[All]" dimensionUniqueName="[Orders]" displayFolder="" count="0" memberValueDatatype="11" unbalanced="0"/>
    <cacheHierarchy uniqueName="[Orders].[Total order value]" caption="Total order value" attribute="1" defaultMemberUniqueName="[Orders].[Total order value].[All]" allUniqueName="[Orders].[Total order value].[All]" dimensionUniqueName="[Orders]" displayFolder="" count="0" memberValueDatatype="5" unbalanced="0"/>
    <cacheHierarchy uniqueName="[Orders].[Unit Cost]" caption="Unit Cost" attribute="1" defaultMemberUniqueName="[Orders].[Unit Cost].[All]" allUniqueName="[Orders].[Unit Cost].[All]" dimensionUniqueName="[Orders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5" unbalanced="0"/>
    <cacheHierarchy uniqueName="[Products].[Item]" caption="Item" attribute="1" defaultMemberUniqueName="[Products].[Item].[All]" allUniqueName="[Products].[Item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Unit Cost]" caption="Unit Cost" attribute="1" defaultMemberUniqueName="[Products].[Unit Cost].[All]" allUniqueName="[Products].[Unit Cost].[All]" dimensionUniqueName="[Products]" displayFolder="" count="0" memberValueDatatype="5" unbalanced="0"/>
    <cacheHierarchy uniqueName="[Measures].[__XL_Count Customers]" caption="__XL_Count Customers" measure="1" displayFolder="" measureGroup="Customers" count="0" hidden="1"/>
    <cacheHierarchy uniqueName="[Measures].[__XL_Count Table2]" caption="__XL_Count Table2" measure="1" displayFolder="" measureGroup="Orders" count="0" hidden="1"/>
    <cacheHierarchy uniqueName="[Measures].[__XL_Count Table1]" caption="__XL_Count Table1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 Cost]" caption="Sum of Unit Cost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 Price]" caption="Sum of Unit Price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A6D07-0327-4A18-B3C7-C374119E380C}" name="PivotTable2" cacheId="97" applyNumberFormats="0" applyBorderFormats="0" applyFontFormats="0" applyPatternFormats="0" applyAlignmentFormats="0" applyWidthHeightFormats="1" dataCaption="Values" showMissing="0" tag="3cd7086d-11db-406a-b7a6-2e9d03d17724" updatedVersion="8" minRefreshableVersion="3" useAutoFormatting="1" subtotalHiddenItems="1" itemPrintTitles="1" createdVersion="8" indent="0" compact="0" compactData="0" multipleFieldFilters="0" chartFormat="7">
  <location ref="D41:F56" firstHeaderRow="0" firstDataRow="1" firstDataCol="1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outline="0" subtotalTop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 Cost" fld="0" baseField="0" baseItem="0"/>
    <dataField name="Sum of Unit Price" fld="2" baseField="0" baseItem="0"/>
  </dataFields>
  <formats count="3">
    <format dxfId="33">
      <pivotArea type="all" dataOnly="0" outline="0" fieldPosition="0"/>
    </format>
    <format dxfId="34">
      <pivotArea type="all" dataOnly="0" outline="0" fieldPosition="0"/>
    </format>
    <format dxfId="0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2B4A8-97BB-45C6-94E5-294139ED8101}" name="PivotTable1" cacheId="94" applyNumberFormats="0" applyBorderFormats="0" applyFontFormats="0" applyPatternFormats="0" applyAlignmentFormats="0" applyWidthHeightFormats="1" dataCaption="Values" showMissing="0" tag="ee643686-2697-4964-894a-f4d2c0435738" updatedVersion="8" minRefreshableVersion="3" useAutoFormatting="1" subtotalHiddenItems="1" itemPrintTitles="1" createdVersion="8" indent="0" compact="0" compactData="0" multipleFieldFilters="0" chartFormat="8">
  <location ref="C4:J20" firstHeaderRow="1" firstDataRow="2" firstDataCol="1"/>
  <pivotFields count="3">
    <pivotField axis="axisCol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outline="0" subtotalTop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tity" fld="2" baseField="0" baseItem="0"/>
  </dataFields>
  <formats count="2">
    <format dxfId="37">
      <pivotArea type="all" dataOnly="0" outline="0" fieldPosition="0"/>
    </format>
    <format dxfId="38">
      <pivotArea type="all" dataOnly="0" outline="0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C869-8C34-4537-819D-E08D91BC5331}">
  <dimension ref="C4:J56"/>
  <sheetViews>
    <sheetView zoomScale="75" workbookViewId="0">
      <selection activeCell="J23" sqref="J23:J24"/>
    </sheetView>
  </sheetViews>
  <sheetFormatPr defaultRowHeight="14.4" x14ac:dyDescent="0.3"/>
  <cols>
    <col min="3" max="3" width="14.21875" bestFit="1" customWidth="1"/>
    <col min="4" max="4" width="13.33203125" bestFit="1" customWidth="1"/>
    <col min="5" max="5" width="14.77734375" bestFit="1" customWidth="1"/>
    <col min="6" max="6" width="15.44140625" bestFit="1" customWidth="1"/>
    <col min="7" max="9" width="18.77734375" bestFit="1" customWidth="1"/>
    <col min="10" max="10" width="10.5546875" bestFit="1" customWidth="1"/>
  </cols>
  <sheetData>
    <row r="4" spans="3:10" x14ac:dyDescent="0.3">
      <c r="C4" s="1" t="s">
        <v>21</v>
      </c>
      <c r="D4" s="1" t="s">
        <v>22</v>
      </c>
      <c r="E4" s="2"/>
      <c r="F4" s="2"/>
      <c r="G4" s="2"/>
      <c r="H4" s="2"/>
      <c r="I4" s="2"/>
      <c r="J4" s="2"/>
    </row>
    <row r="5" spans="3:10" x14ac:dyDescent="0.3">
      <c r="C5" s="1" t="s">
        <v>23</v>
      </c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</row>
    <row r="6" spans="3:10" x14ac:dyDescent="0.3">
      <c r="C6" s="2" t="s">
        <v>7</v>
      </c>
      <c r="D6" s="3">
        <v>128</v>
      </c>
      <c r="E6" s="3">
        <v>159</v>
      </c>
      <c r="F6" s="3">
        <v>347</v>
      </c>
      <c r="G6" s="3">
        <v>234</v>
      </c>
      <c r="H6" s="3">
        <v>166</v>
      </c>
      <c r="I6" s="3"/>
      <c r="J6" s="3">
        <v>1034</v>
      </c>
    </row>
    <row r="7" spans="3:10" x14ac:dyDescent="0.3">
      <c r="C7" s="2" t="s">
        <v>8</v>
      </c>
      <c r="D7" s="3">
        <v>58</v>
      </c>
      <c r="E7" s="3">
        <v>59</v>
      </c>
      <c r="F7" s="3">
        <v>154</v>
      </c>
      <c r="G7" s="3">
        <v>124</v>
      </c>
      <c r="H7" s="3">
        <v>88</v>
      </c>
      <c r="I7" s="3"/>
      <c r="J7" s="3">
        <v>483</v>
      </c>
    </row>
    <row r="8" spans="3:10" x14ac:dyDescent="0.3">
      <c r="C8" s="2" t="s">
        <v>9</v>
      </c>
      <c r="D8" s="3">
        <v>29</v>
      </c>
      <c r="E8" s="3">
        <v>40</v>
      </c>
      <c r="F8" s="3">
        <v>112</v>
      </c>
      <c r="G8" s="3">
        <v>107</v>
      </c>
      <c r="H8" s="3">
        <v>49</v>
      </c>
      <c r="I8" s="3">
        <v>1</v>
      </c>
      <c r="J8" s="3">
        <v>338</v>
      </c>
    </row>
    <row r="9" spans="3:10" x14ac:dyDescent="0.3">
      <c r="C9" s="2" t="s">
        <v>10</v>
      </c>
      <c r="D9" s="3">
        <v>21</v>
      </c>
      <c r="E9" s="3">
        <v>26</v>
      </c>
      <c r="F9" s="3">
        <v>115</v>
      </c>
      <c r="G9" s="3">
        <v>79</v>
      </c>
      <c r="H9" s="3">
        <v>78</v>
      </c>
      <c r="I9" s="3"/>
      <c r="J9" s="3">
        <v>319</v>
      </c>
    </row>
    <row r="10" spans="3:10" x14ac:dyDescent="0.3">
      <c r="C10" s="2" t="s">
        <v>11</v>
      </c>
      <c r="D10" s="3"/>
      <c r="E10" s="3">
        <v>19</v>
      </c>
      <c r="F10" s="3">
        <v>10</v>
      </c>
      <c r="G10" s="3">
        <v>5</v>
      </c>
      <c r="H10" s="3">
        <v>11</v>
      </c>
      <c r="I10" s="3"/>
      <c r="J10" s="3">
        <v>45</v>
      </c>
    </row>
    <row r="11" spans="3:10" x14ac:dyDescent="0.3">
      <c r="C11" s="2" t="s">
        <v>12</v>
      </c>
      <c r="D11" s="3">
        <v>36</v>
      </c>
      <c r="E11" s="3">
        <v>38</v>
      </c>
      <c r="F11" s="3">
        <v>106</v>
      </c>
      <c r="G11" s="3">
        <v>58</v>
      </c>
      <c r="H11" s="3">
        <v>75</v>
      </c>
      <c r="I11" s="3"/>
      <c r="J11" s="3">
        <v>313</v>
      </c>
    </row>
    <row r="12" spans="3:10" x14ac:dyDescent="0.3">
      <c r="C12" s="2" t="s">
        <v>13</v>
      </c>
      <c r="D12" s="3">
        <v>44</v>
      </c>
      <c r="E12" s="3">
        <v>41</v>
      </c>
      <c r="F12" s="3">
        <v>184</v>
      </c>
      <c r="G12" s="3">
        <v>130</v>
      </c>
      <c r="H12" s="3">
        <v>70</v>
      </c>
      <c r="I12" s="3"/>
      <c r="J12" s="3">
        <v>469</v>
      </c>
    </row>
    <row r="13" spans="3:10" x14ac:dyDescent="0.3">
      <c r="C13" s="2" t="s">
        <v>14</v>
      </c>
      <c r="D13" s="3">
        <v>135</v>
      </c>
      <c r="E13" s="3">
        <v>154</v>
      </c>
      <c r="F13" s="3">
        <v>459</v>
      </c>
      <c r="G13" s="3">
        <v>324</v>
      </c>
      <c r="H13" s="3">
        <v>228</v>
      </c>
      <c r="I13" s="3"/>
      <c r="J13" s="3">
        <v>1300</v>
      </c>
    </row>
    <row r="14" spans="3:10" x14ac:dyDescent="0.3">
      <c r="C14" s="2" t="s">
        <v>15</v>
      </c>
      <c r="D14" s="3">
        <v>66</v>
      </c>
      <c r="E14" s="3">
        <v>93</v>
      </c>
      <c r="F14" s="3">
        <v>190</v>
      </c>
      <c r="G14" s="3">
        <v>157</v>
      </c>
      <c r="H14" s="3">
        <v>76</v>
      </c>
      <c r="I14" s="3"/>
      <c r="J14" s="3">
        <v>582</v>
      </c>
    </row>
    <row r="15" spans="3:10" x14ac:dyDescent="0.3">
      <c r="C15" s="2" t="s">
        <v>16</v>
      </c>
      <c r="D15" s="3">
        <v>31</v>
      </c>
      <c r="E15" s="3">
        <v>41</v>
      </c>
      <c r="F15" s="3">
        <v>68</v>
      </c>
      <c r="G15" s="3">
        <v>40</v>
      </c>
      <c r="H15" s="3">
        <v>38</v>
      </c>
      <c r="I15" s="3"/>
      <c r="J15" s="3">
        <v>218</v>
      </c>
    </row>
    <row r="16" spans="3:10" x14ac:dyDescent="0.3">
      <c r="C16" s="2" t="s">
        <v>17</v>
      </c>
      <c r="D16" s="3">
        <v>70</v>
      </c>
      <c r="E16" s="3">
        <v>64</v>
      </c>
      <c r="F16" s="3">
        <v>214</v>
      </c>
      <c r="G16" s="3">
        <v>123</v>
      </c>
      <c r="H16" s="3">
        <v>113</v>
      </c>
      <c r="I16" s="3"/>
      <c r="J16" s="3">
        <v>584</v>
      </c>
    </row>
    <row r="17" spans="3:10" x14ac:dyDescent="0.3">
      <c r="C17" s="2" t="s">
        <v>18</v>
      </c>
      <c r="D17" s="3">
        <v>110</v>
      </c>
      <c r="E17" s="3">
        <v>143</v>
      </c>
      <c r="F17" s="3">
        <v>395</v>
      </c>
      <c r="G17" s="3">
        <v>249</v>
      </c>
      <c r="H17" s="3">
        <v>233</v>
      </c>
      <c r="I17" s="3"/>
      <c r="J17" s="3">
        <v>1130</v>
      </c>
    </row>
    <row r="18" spans="3:10" x14ac:dyDescent="0.3">
      <c r="C18" s="2" t="s">
        <v>19</v>
      </c>
      <c r="D18" s="3">
        <v>72</v>
      </c>
      <c r="E18" s="3">
        <v>86</v>
      </c>
      <c r="F18" s="3">
        <v>249</v>
      </c>
      <c r="G18" s="3">
        <v>177</v>
      </c>
      <c r="H18" s="3">
        <v>130</v>
      </c>
      <c r="I18" s="3"/>
      <c r="J18" s="3">
        <v>714</v>
      </c>
    </row>
    <row r="19" spans="3:10" x14ac:dyDescent="0.3">
      <c r="C19" s="2" t="s">
        <v>20</v>
      </c>
      <c r="D19" s="3">
        <v>52</v>
      </c>
      <c r="E19" s="3">
        <v>56</v>
      </c>
      <c r="F19" s="3">
        <v>86</v>
      </c>
      <c r="G19" s="3">
        <v>91</v>
      </c>
      <c r="H19" s="3">
        <v>50</v>
      </c>
      <c r="I19" s="3"/>
      <c r="J19" s="3">
        <v>335</v>
      </c>
    </row>
    <row r="20" spans="3:10" x14ac:dyDescent="0.3">
      <c r="C20" s="2" t="s">
        <v>6</v>
      </c>
      <c r="D20" s="3">
        <v>852</v>
      </c>
      <c r="E20" s="3">
        <v>1019</v>
      </c>
      <c r="F20" s="3">
        <v>2689</v>
      </c>
      <c r="G20" s="3">
        <v>1898</v>
      </c>
      <c r="H20" s="3">
        <v>1405</v>
      </c>
      <c r="I20" s="3">
        <v>1</v>
      </c>
      <c r="J20" s="3">
        <v>7864</v>
      </c>
    </row>
    <row r="41" spans="4:7" x14ac:dyDescent="0.3">
      <c r="D41" s="1" t="s">
        <v>23</v>
      </c>
      <c r="E41" s="2" t="s">
        <v>24</v>
      </c>
      <c r="F41" s="2" t="s">
        <v>25</v>
      </c>
      <c r="G41" s="4" t="s">
        <v>26</v>
      </c>
    </row>
    <row r="42" spans="4:7" x14ac:dyDescent="0.3">
      <c r="D42" s="2" t="s">
        <v>7</v>
      </c>
      <c r="E42" s="6">
        <v>616541.09999999974</v>
      </c>
      <c r="F42" s="3">
        <v>880773</v>
      </c>
      <c r="G42" s="5">
        <f>GETPIVOTDATA("[Measures].[Sum of Unit Price]",$D$41,"[Products].[Item]","[Products].[Item].&amp;[Bag]")-GETPIVOTDATA("[Measures].[Sum of Unit Cost]",$D$41,"[Products].[Item]","[Products].[Item].&amp;[Bag]")</f>
        <v>264231.90000000026</v>
      </c>
    </row>
    <row r="43" spans="4:7" x14ac:dyDescent="0.3">
      <c r="D43" s="2" t="s">
        <v>8</v>
      </c>
      <c r="E43" s="6">
        <v>283054.79999999981</v>
      </c>
      <c r="F43" s="3">
        <v>404364</v>
      </c>
      <c r="G43" s="5">
        <f>GETPIVOTDATA("[Measures].[Sum of Unit Price]",$D$41,"[Products].[Item]","[Products].[Item].&amp;[Belt]")-GETPIVOTDATA("[Measures].[Sum of Unit Cost]",$D$41,"[Products].[Item]","[Products].[Item].&amp;[Belt]")</f>
        <v>121309.20000000019</v>
      </c>
    </row>
    <row r="44" spans="4:7" x14ac:dyDescent="0.3">
      <c r="D44" s="2" t="s">
        <v>9</v>
      </c>
      <c r="E44" s="6">
        <v>259636.30000000008</v>
      </c>
      <c r="F44" s="3">
        <v>370909</v>
      </c>
      <c r="G44" s="5">
        <f>GETPIVOTDATA("[Measures].[Sum of Unit Price]",$D$41,"[Products].[Item]","[Products].[Item].&amp;[Coat]")-GETPIVOTDATA("[Measures].[Sum of Unit Cost]",$D$41,"[Products].[Item]","[Products].[Item].&amp;[Coat]")</f>
        <v>111272.69999999992</v>
      </c>
    </row>
    <row r="45" spans="4:7" x14ac:dyDescent="0.3">
      <c r="D45" s="2" t="s">
        <v>10</v>
      </c>
      <c r="E45" s="6">
        <v>178021.19999999995</v>
      </c>
      <c r="F45" s="3">
        <v>254316</v>
      </c>
      <c r="G45" s="5">
        <f>GETPIVOTDATA("[Measures].[Sum of Unit Price]",$D$41,"[Products].[Item]","[Products].[Item].&amp;[Dress]")-GETPIVOTDATA("[Measures].[Sum of Unit Cost]",$D$41,"[Products].[Item]","[Products].[Item].&amp;[Dress]")</f>
        <v>76294.800000000047</v>
      </c>
    </row>
    <row r="46" spans="4:7" x14ac:dyDescent="0.3">
      <c r="D46" s="2" t="s">
        <v>11</v>
      </c>
      <c r="E46" s="6">
        <v>31062.500000000004</v>
      </c>
      <c r="F46" s="3">
        <v>44375</v>
      </c>
      <c r="G46" s="5">
        <f>GETPIVOTDATA("[Measures].[Sum of Unit Price]",$D$41,"[Products].[Item]","[Products].[Item].&amp;[Glasses]")-GETPIVOTDATA("[Measures].[Sum of Unit Cost]",$D$41,"[Products].[Item]","[Products].[Item].&amp;[Glasses]")</f>
        <v>13312.499999999996</v>
      </c>
    </row>
    <row r="47" spans="4:7" x14ac:dyDescent="0.3">
      <c r="D47" s="2" t="s">
        <v>12</v>
      </c>
      <c r="E47" s="6">
        <v>175473.2</v>
      </c>
      <c r="F47" s="3">
        <v>250676</v>
      </c>
      <c r="G47" s="5">
        <f>GETPIVOTDATA("[Measures].[Sum of Unit Price]",$D$41,"[Products].[Item]","[Products].[Item].&amp;[Hat]")-GETPIVOTDATA("[Measures].[Sum of Unit Cost]",$D$41,"[Products].[Item]","[Products].[Item].&amp;[Hat]")</f>
        <v>75202.799999999988</v>
      </c>
    </row>
    <row r="48" spans="4:7" x14ac:dyDescent="0.3">
      <c r="D48" s="2" t="s">
        <v>13</v>
      </c>
      <c r="E48" s="6">
        <v>288072.39999999979</v>
      </c>
      <c r="F48" s="3">
        <v>411532</v>
      </c>
      <c r="G48" s="5">
        <f>GETPIVOTDATA("[Measures].[Sum of Unit Price]",$D$41,"[Products].[Item]","[Products].[Item].&amp;[high heel shoes]")-GETPIVOTDATA("[Measures].[Sum of Unit Cost]",$D$41,"[Products].[Item]","[Products].[Item].&amp;[high heel shoes]")</f>
        <v>123459.60000000021</v>
      </c>
    </row>
    <row r="49" spans="4:7" x14ac:dyDescent="0.3">
      <c r="D49" s="2" t="s">
        <v>14</v>
      </c>
      <c r="E49" s="6">
        <v>704504.50000000023</v>
      </c>
      <c r="F49" s="3">
        <v>1006435</v>
      </c>
      <c r="G49" s="5">
        <f>GETPIVOTDATA("[Measures].[Sum of Unit Price]",$D$41,"[Products].[Item]","[Products].[Item].&amp;[Jeans]")-GETPIVOTDATA("[Measures].[Sum of Unit Cost]",$D$41,"[Products].[Item]","[Products].[Item].&amp;[Jeans]")</f>
        <v>301930.49999999977</v>
      </c>
    </row>
    <row r="50" spans="4:7" x14ac:dyDescent="0.3">
      <c r="D50" s="2" t="s">
        <v>15</v>
      </c>
      <c r="E50" s="6">
        <v>290777.90000000008</v>
      </c>
      <c r="F50" s="3">
        <v>415397</v>
      </c>
      <c r="G50" s="5">
        <f>GETPIVOTDATA("[Measures].[Sum of Unit Price]",$D$41,"[Products].[Item]","[Products].[Item].&amp;[Shoes]")-GETPIVOTDATA("[Measures].[Sum of Unit Cost]",$D$41,"[Products].[Item]","[Products].[Item].&amp;[Shoes]")</f>
        <v>124619.09999999992</v>
      </c>
    </row>
    <row r="51" spans="4:7" x14ac:dyDescent="0.3">
      <c r="D51" s="2" t="s">
        <v>16</v>
      </c>
      <c r="E51" s="6">
        <v>131544.69999999998</v>
      </c>
      <c r="F51" s="3">
        <v>187921</v>
      </c>
      <c r="G51" s="5">
        <f>GETPIVOTDATA("[Measures].[Sum of Unit Price]",$D$41,"[Products].[Item]","[Products].[Item].&amp;[Skirt]")-GETPIVOTDATA("[Measures].[Sum of Unit Cost]",$D$41,"[Products].[Item]","[Products].[Item].&amp;[Skirt]")</f>
        <v>56376.300000000017</v>
      </c>
    </row>
    <row r="52" spans="4:7" x14ac:dyDescent="0.3">
      <c r="D52" s="2" t="s">
        <v>17</v>
      </c>
      <c r="E52" s="6">
        <v>289316.30000000005</v>
      </c>
      <c r="F52" s="3">
        <v>413309</v>
      </c>
      <c r="G52" s="5">
        <f>GETPIVOTDATA("[Measures].[Sum of Unit Price]",$D$41,"[Products].[Item]","[Products].[Item].&amp;[Suit]")-GETPIVOTDATA("[Measures].[Sum of Unit Cost]",$D$41,"[Products].[Item]","[Products].[Item].&amp;[Suit]")</f>
        <v>123992.69999999995</v>
      </c>
    </row>
    <row r="53" spans="4:7" x14ac:dyDescent="0.3">
      <c r="D53" s="2" t="s">
        <v>18</v>
      </c>
      <c r="E53" s="6">
        <v>603781.50000000012</v>
      </c>
      <c r="F53" s="3">
        <v>862545</v>
      </c>
      <c r="G53" s="5">
        <f>GETPIVOTDATA("[Measures].[Sum of Unit Price]",$D$41,"[Products].[Item]","[Products].[Item].&amp;[Tie]")-GETPIVOTDATA("[Measures].[Sum of Unit Cost]",$D$41,"[Products].[Item]","[Products].[Item].&amp;[Tie]")</f>
        <v>258763.49999999988</v>
      </c>
    </row>
    <row r="54" spans="4:7" x14ac:dyDescent="0.3">
      <c r="D54" s="2" t="s">
        <v>19</v>
      </c>
      <c r="E54" s="6">
        <v>377895.70000000007</v>
      </c>
      <c r="F54" s="3">
        <v>539851</v>
      </c>
      <c r="G54" s="5">
        <f>GETPIVOTDATA("[Measures].[Sum of Unit Price]",$D$41,"[Products].[Item]","[Products].[Item].&amp;[T-Shirt]")-GETPIVOTDATA("[Measures].[Sum of Unit Cost]",$D$41,"[Products].[Item]","[Products].[Item].&amp;[T-Shirt]")</f>
        <v>161955.29999999993</v>
      </c>
    </row>
    <row r="55" spans="4:7" x14ac:dyDescent="0.3">
      <c r="D55" s="2" t="s">
        <v>20</v>
      </c>
      <c r="E55" s="6">
        <v>192795.39999999994</v>
      </c>
      <c r="F55" s="3">
        <v>275422</v>
      </c>
      <c r="G55" s="5">
        <f>GETPIVOTDATA("[Measures].[Sum of Unit Price]",$D$41,"[Products].[Item]","[Products].[Item].&amp;[Wallet]")-GETPIVOTDATA("[Measures].[Sum of Unit Cost]",$D$41,"[Products].[Item]","[Products].[Item].&amp;[Wallet]")</f>
        <v>82626.600000000064</v>
      </c>
    </row>
    <row r="56" spans="4:7" x14ac:dyDescent="0.3">
      <c r="D56" s="2" t="s">
        <v>6</v>
      </c>
      <c r="E56" s="3">
        <v>4422477.4999999916</v>
      </c>
      <c r="F56" s="3">
        <v>6317825</v>
      </c>
      <c r="G56" s="7">
        <f>GETPIVOTDATA("[Measures].[Sum of Unit Price]",$D$41)-GETPIVOTDATA("[Measures].[Sum of Unit Cost]",$D$41)</f>
        <v>1895347.5000000084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DADB-659D-42EF-9A79-C6919968C40F}">
  <dimension ref="A1"/>
  <sheetViews>
    <sheetView showGridLines="0" tabSelected="1" zoomScale="96" workbookViewId="0">
      <selection activeCell="D5" sqref="D5"/>
    </sheetView>
  </sheetViews>
  <sheetFormatPr defaultRowHeight="14.4" x14ac:dyDescent="0.3"/>
  <cols>
    <col min="1" max="16384" width="8.88671875" style="8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179B173-D451-450F-93AB-8585E586244D}">
  <ds:schemaRefs/>
</ds:datastoreItem>
</file>

<file path=customXml/itemProps2.xml><?xml version="1.0" encoding="utf-8"?>
<ds:datastoreItem xmlns:ds="http://schemas.openxmlformats.org/officeDocument/2006/customXml" ds:itemID="{CFBCC21C-6C44-4124-B701-8A2591B9A066}">
  <ds:schemaRefs/>
</ds:datastoreItem>
</file>

<file path=customXml/itemProps3.xml><?xml version="1.0" encoding="utf-8"?>
<ds:datastoreItem xmlns:ds="http://schemas.openxmlformats.org/officeDocument/2006/customXml" ds:itemID="{519803C9-1B99-4A81-B928-0AA85C6B2FE8}">
  <ds:schemaRefs/>
</ds:datastoreItem>
</file>

<file path=customXml/itemProps4.xml><?xml version="1.0" encoding="utf-8"?>
<ds:datastoreItem xmlns:ds="http://schemas.openxmlformats.org/officeDocument/2006/customXml" ds:itemID="{D67975E1-02A4-4827-BFB7-3AAE74B46F70}">
  <ds:schemaRefs/>
</ds:datastoreItem>
</file>

<file path=customXml/itemProps5.xml><?xml version="1.0" encoding="utf-8"?>
<ds:datastoreItem xmlns:ds="http://schemas.openxmlformats.org/officeDocument/2006/customXml" ds:itemID="{842B994E-9374-4674-9AAA-83039825654F}">
  <ds:schemaRefs/>
</ds:datastoreItem>
</file>

<file path=customXml/itemProps6.xml><?xml version="1.0" encoding="utf-8"?>
<ds:datastoreItem xmlns:ds="http://schemas.openxmlformats.org/officeDocument/2006/customXml" ds:itemID="{7BA1D396-F73F-4DD8-B41B-8660DADB6497}">
  <ds:schemaRefs/>
</ds:datastoreItem>
</file>

<file path=customXml/itemProps7.xml><?xml version="1.0" encoding="utf-8"?>
<ds:datastoreItem xmlns:ds="http://schemas.openxmlformats.org/officeDocument/2006/customXml" ds:itemID="{0ED3C730-9B4E-40AA-86D7-94D9B21B41D6}">
  <ds:schemaRefs/>
</ds:datastoreItem>
</file>

<file path=customXml/itemProps8.xml><?xml version="1.0" encoding="utf-8"?>
<ds:datastoreItem xmlns:ds="http://schemas.openxmlformats.org/officeDocument/2006/customXml" ds:itemID="{BA9547B0-4B3E-4463-8133-4F8FDA3FC727}">
  <ds:schemaRefs/>
</ds:datastoreItem>
</file>

<file path=customXml/itemProps9.xml><?xml version="1.0" encoding="utf-8"?>
<ds:datastoreItem xmlns:ds="http://schemas.openxmlformats.org/officeDocument/2006/customXml" ds:itemID="{6F975FA2-89E1-4124-AC75-94F9BFB7C640}">
  <ds:schemaRefs/>
</ds:datastoreItem>
</file>

<file path=customXml/itemProps10.xml><?xml version="1.0" encoding="utf-8"?>
<ds:datastoreItem xmlns:ds="http://schemas.openxmlformats.org/officeDocument/2006/customXml" ds:itemID="{72E313BE-E08B-4F6E-A57E-6B7F03E65D47}">
  <ds:schemaRefs/>
</ds:datastoreItem>
</file>

<file path=customXml/itemProps11.xml><?xml version="1.0" encoding="utf-8"?>
<ds:datastoreItem xmlns:ds="http://schemas.openxmlformats.org/officeDocument/2006/customXml" ds:itemID="{71C931C7-DB21-4E4E-9577-25097663B2DA}">
  <ds:schemaRefs/>
</ds:datastoreItem>
</file>

<file path=customXml/itemProps12.xml><?xml version="1.0" encoding="utf-8"?>
<ds:datastoreItem xmlns:ds="http://schemas.openxmlformats.org/officeDocument/2006/customXml" ds:itemID="{FD3C243E-D2B2-42EE-895A-271B50FA0F91}">
  <ds:schemaRefs/>
</ds:datastoreItem>
</file>

<file path=customXml/itemProps13.xml><?xml version="1.0" encoding="utf-8"?>
<ds:datastoreItem xmlns:ds="http://schemas.openxmlformats.org/officeDocument/2006/customXml" ds:itemID="{4340F873-FE52-49BE-8B1C-9393A6542AB2}">
  <ds:schemaRefs/>
</ds:datastoreItem>
</file>

<file path=customXml/itemProps14.xml><?xml version="1.0" encoding="utf-8"?>
<ds:datastoreItem xmlns:ds="http://schemas.openxmlformats.org/officeDocument/2006/customXml" ds:itemID="{7F291FB7-6732-4F38-8EDD-1699E6189EF7}">
  <ds:schemaRefs/>
</ds:datastoreItem>
</file>

<file path=customXml/itemProps15.xml><?xml version="1.0" encoding="utf-8"?>
<ds:datastoreItem xmlns:ds="http://schemas.openxmlformats.org/officeDocument/2006/customXml" ds:itemID="{4CFFDF81-616B-44DC-9534-2C6970865760}">
  <ds:schemaRefs/>
</ds:datastoreItem>
</file>

<file path=customXml/itemProps16.xml><?xml version="1.0" encoding="utf-8"?>
<ds:datastoreItem xmlns:ds="http://schemas.openxmlformats.org/officeDocument/2006/customXml" ds:itemID="{77EC6D76-0E0D-454F-AAED-A866F429A6EF}">
  <ds:schemaRefs/>
</ds:datastoreItem>
</file>

<file path=customXml/itemProps17.xml><?xml version="1.0" encoding="utf-8"?>
<ds:datastoreItem xmlns:ds="http://schemas.openxmlformats.org/officeDocument/2006/customXml" ds:itemID="{EA73484F-FD25-4B5C-8E9E-E3A6B4BBAB94}">
  <ds:schemaRefs/>
</ds:datastoreItem>
</file>

<file path=customXml/itemProps18.xml><?xml version="1.0" encoding="utf-8"?>
<ds:datastoreItem xmlns:ds="http://schemas.openxmlformats.org/officeDocument/2006/customXml" ds:itemID="{0D2039DE-836F-43B3-B8DD-2FC9ED83CD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Dawoud</dc:creator>
  <cp:lastModifiedBy>David Dawoud</cp:lastModifiedBy>
  <dcterms:created xsi:type="dcterms:W3CDTF">2026-08-05T11:05:17Z</dcterms:created>
  <dcterms:modified xsi:type="dcterms:W3CDTF">2026-08-05T12:29:03Z</dcterms:modified>
</cp:coreProperties>
</file>
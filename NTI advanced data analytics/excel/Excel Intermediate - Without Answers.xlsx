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BecomingDataScientist\NTI advanced data analytics\excel\"/>
    </mc:Choice>
  </mc:AlternateContent>
  <xr:revisionPtr revIDLastSave="0" documentId="13_ncr:1_{CC8336C5-DDAF-46DF-B80D-A4D8DB1E88B2}" xr6:coauthVersionLast="47" xr6:coauthVersionMax="47" xr10:uidLastSave="{00000000-0000-0000-0000-000000000000}"/>
  <bookViews>
    <workbookView xWindow="-108" yWindow="-108" windowWidth="23256" windowHeight="12456" tabRatio="704" firstSheet="7" activeTab="12" xr2:uid="{0020A04A-9343-4A89-A11A-34D7C6189CFF}"/>
  </bookViews>
  <sheets>
    <sheet name="Sheet1" sheetId="11" r:id="rId1"/>
    <sheet name="Intro IF" sheetId="5" r:id="rId2"/>
    <sheet name="Simple IF &amp; OR &amp; AND" sheetId="6" r:id="rId3"/>
    <sheet name="IF Complex - 1" sheetId="21" r:id="rId4"/>
    <sheet name="IF Complex - 2" sheetId="22" r:id="rId5"/>
    <sheet name="IFs" sheetId="20" r:id="rId6"/>
    <sheet name="Intro Vlookup" sheetId="8" r:id="rId7"/>
    <sheet name="V-lookup &amp; Xlookup" sheetId="4" r:id="rId8"/>
    <sheet name="V-lookup &amp; Xlookup 2" sheetId="17" r:id="rId9"/>
    <sheet name="Text Functions" sheetId="12" r:id="rId10"/>
    <sheet name="Date and Time Functions" sheetId="13" r:id="rId11"/>
    <sheet name="Sparklines" sheetId="15" r:id="rId12"/>
    <sheet name="Practice" sheetId="19" r:id="rId13"/>
  </sheets>
  <definedNames>
    <definedName name="_xlnm._FilterDatabase" localSheetId="9" hidden="1">'Text Functions'!$A$1:$A$93</definedName>
    <definedName name="ee" localSheetId="12" hidden="1">{"FirstQ",#N/A,FALSE,"Budget2000";"SecondQ",#N/A,FALSE,"Budget2000";"Summary",#N/A,FALSE,"Budget2000"}</definedName>
    <definedName name="ee" hidden="1">{"FirstQ",#N/A,FALSE,"Budget2000";"SecondQ",#N/A,FALSE,"Budget2000";"Summary",#N/A,FALSE,"Budget2000"}</definedName>
    <definedName name="k" localSheetId="12" hidden="1">{"FirstQ",#N/A,FALSE,"Budget2000";"SecondQ",#N/A,FALSE,"Budget2000";"Summary",#N/A,FALSE,"Budget2000"}</definedName>
    <definedName name="k" hidden="1">{"FirstQ",#N/A,FALSE,"Budget2000";"SecondQ",#N/A,FALSE,"Budget2000";"Summary",#N/A,FALSE,"Budget2000"}</definedName>
    <definedName name="q" localSheetId="12" hidden="1">{"FirstQ",#N/A,FALSE,"Budget2000";"SecondQ",#N/A,FALSE,"Budget2000";"Summary",#N/A,FALSE,"Budget2000"}</definedName>
    <definedName name="q" hidden="1">{"FirstQ",#N/A,FALSE,"Budget2000";"SecondQ",#N/A,FALSE,"Budget2000";"Summary",#N/A,FALSE,"Budget2000"}</definedName>
    <definedName name="rr" localSheetId="12" hidden="1">{"FirstQ",#N/A,FALSE,"Budget2000";"SecondQ",#N/A,FALSE,"Budget2000"}</definedName>
    <definedName name="rr" hidden="1">{"FirstQ",#N/A,FALSE,"Budget2000";"SecondQ",#N/A,FALSE,"Budget2000"}</definedName>
    <definedName name="rrr" localSheetId="12" hidden="1">{"AllDetail",#N/A,FALSE,"Research Budget";"1stQuarter",#N/A,FALSE,"Research Budget";"2nd Quarter",#N/A,FALSE,"Research Budget";"Summary",#N/A,FALSE,"Research Budget"}</definedName>
    <definedName name="rrr" hidden="1">{"AllDetail",#N/A,FALSE,"Research Budget";"1stQuarter",#N/A,FALSE,"Research Budget";"2nd Quarter",#N/A,FALSE,"Research Budget";"Summary",#N/A,FALSE,"Research Budget"}</definedName>
    <definedName name="wrn.AllData." localSheetId="12" hidden="1">{"FirstQ",#N/A,FALSE,"Budget2000";"SecondQ",#N/A,FALSE,"Budget2000";"Summary",#N/A,FALSE,"Budget2000"}</definedName>
    <definedName name="wrn.AllData." hidden="1">{"FirstQ",#N/A,FALSE,"Budget2000";"SecondQ",#N/A,FALSE,"Budget2000";"Summary",#N/A,FALSE,"Budget2000"}</definedName>
    <definedName name="wrn.FirstHalf." localSheetId="12" hidden="1">{"FirstQ",#N/A,FALSE,"Budget2000";"SecondQ",#N/A,FALSE,"Budget2000"}</definedName>
    <definedName name="wrn.FirstHalf." hidden="1">{"FirstQ",#N/A,FALSE,"Budget2000";"SecondQ",#N/A,FALSE,"Budget2000"}</definedName>
    <definedName name="x" localSheetId="12" hidden="1">{"FirstQ",#N/A,FALSE,"Budget2000";"SecondQ",#N/A,FALSE,"Budget2000";"Summary",#N/A,FALSE,"Budget2000"}</definedName>
    <definedName name="x" hidden="1">{"FirstQ",#N/A,FALSE,"Budget2000";"SecondQ",#N/A,FALSE,"Budget2000";"Summary",#N/A,FALSE,"Budget2000"}</definedName>
    <definedName name="xxxxxxxxxxxxxxxxxxx" localSheetId="12" hidden="1">{"AllDetail",#N/A,FALSE,"Research Budget";"1stQuarter",#N/A,FALSE,"Research Budget";"2nd Quarter",#N/A,FALSE,"Research Budget";"Summary",#N/A,FALSE,"Research Budget"}</definedName>
    <definedName name="xxxxxxxxxxxxxxxxxxx" hidden="1">{"AllDetail",#N/A,FALSE,"Research Budget";"1stQuarter",#N/A,FALSE,"Research Budget";"2nd Quarter",#N/A,FALSE,"Research Budget";"Summary",#N/A,FALSE,"Research Budget"}</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9" i="19" l="1" a="1"/>
  <c r="K49" i="19" s="1"/>
  <c r="K50" i="19" a="1"/>
  <c r="K50" i="19" s="1"/>
  <c r="K51" i="19" a="1"/>
  <c r="K51" i="19" s="1"/>
  <c r="K52" i="19" a="1"/>
  <c r="K52" i="19" s="1"/>
  <c r="K48" i="19" a="1"/>
  <c r="K48" i="19" s="1"/>
  <c r="J49" i="19"/>
  <c r="J50" i="19"/>
  <c r="J51" i="19"/>
  <c r="J52" i="19"/>
  <c r="J48" i="19"/>
  <c r="L25" i="19"/>
  <c r="L26" i="19"/>
  <c r="L27" i="19"/>
  <c r="L28" i="19"/>
  <c r="L29" i="19"/>
  <c r="L30" i="19"/>
  <c r="L31" i="19"/>
  <c r="L32" i="19"/>
  <c r="L33" i="19"/>
  <c r="C25" i="19" a="1"/>
  <c r="C25" i="19" s="1"/>
  <c r="C26" i="19" a="1"/>
  <c r="C26" i="19" s="1"/>
  <c r="C27" i="19" a="1"/>
  <c r="C27" i="19" s="1"/>
  <c r="C28" i="19" a="1"/>
  <c r="C28" i="19" s="1"/>
  <c r="C29" i="19" a="1"/>
  <c r="C29" i="19" s="1"/>
  <c r="C30" i="19" a="1"/>
  <c r="C30" i="19" s="1"/>
  <c r="C31" i="19" a="1"/>
  <c r="C31" i="19"/>
  <c r="C32" i="19" a="1"/>
  <c r="C32" i="19" s="1"/>
  <c r="C33" i="19" a="1"/>
  <c r="C33" i="19" s="1"/>
  <c r="C2" i="20" a="1"/>
  <c r="C2" i="20" s="1"/>
  <c r="C2" i="21" l="1"/>
  <c r="D71" i="6"/>
  <c r="D90" i="6"/>
  <c r="D104" i="6"/>
  <c r="D6" i="13"/>
  <c r="D8" i="13" s="1"/>
  <c r="L16" i="17"/>
  <c r="L17" i="17"/>
  <c r="L18" i="17"/>
  <c r="L19" i="17"/>
  <c r="L20" i="17"/>
  <c r="L15" i="17"/>
  <c r="K16" i="17"/>
  <c r="K17" i="17"/>
  <c r="K18" i="17"/>
  <c r="K19" i="17"/>
  <c r="K20" i="17"/>
  <c r="K15" i="17"/>
  <c r="J16" i="17"/>
  <c r="J17" i="17"/>
  <c r="J18" i="17"/>
  <c r="J19" i="17"/>
  <c r="J20" i="17"/>
  <c r="J15" i="17"/>
  <c r="I16" i="17"/>
  <c r="I17" i="17"/>
  <c r="I18" i="17"/>
  <c r="I19" i="17"/>
  <c r="I20" i="17"/>
  <c r="I15" i="17"/>
  <c r="L3" i="17"/>
  <c r="L4" i="17"/>
  <c r="L5" i="17"/>
  <c r="L6" i="17"/>
  <c r="L7" i="17"/>
  <c r="L2" i="17"/>
  <c r="K3" i="17"/>
  <c r="K4" i="17"/>
  <c r="K5" i="17"/>
  <c r="K6" i="17"/>
  <c r="K7" i="17"/>
  <c r="K2" i="17"/>
  <c r="J3" i="17"/>
  <c r="J4" i="17"/>
  <c r="J5" i="17"/>
  <c r="J6" i="17"/>
  <c r="J7" i="17"/>
  <c r="J2" i="17"/>
  <c r="I3" i="17"/>
  <c r="I4" i="17"/>
  <c r="I5" i="17"/>
  <c r="I6" i="17"/>
  <c r="I7" i="17"/>
  <c r="I2" i="17"/>
  <c r="E3" i="17"/>
  <c r="E4" i="17"/>
  <c r="E5" i="17"/>
  <c r="E6" i="17"/>
  <c r="E7" i="17"/>
  <c r="E8" i="17"/>
  <c r="E9" i="17"/>
  <c r="E10" i="17"/>
  <c r="E11" i="17"/>
  <c r="E12" i="17"/>
  <c r="E13" i="17"/>
  <c r="E14" i="17"/>
  <c r="E15" i="17"/>
  <c r="E16" i="17"/>
  <c r="E17" i="17"/>
  <c r="E18" i="17"/>
  <c r="E19" i="17"/>
  <c r="E20" i="17"/>
  <c r="E21" i="17"/>
  <c r="E22" i="17"/>
  <c r="E23" i="17"/>
  <c r="E24" i="17"/>
  <c r="E25" i="17"/>
  <c r="E26" i="17"/>
  <c r="E27" i="17"/>
  <c r="E28" i="17"/>
  <c r="E29" i="17"/>
  <c r="E30" i="17"/>
  <c r="E31" i="17"/>
  <c r="E32" i="17"/>
  <c r="E33" i="17"/>
  <c r="E34" i="17"/>
  <c r="E35" i="17"/>
  <c r="E36" i="17"/>
  <c r="E37" i="17"/>
  <c r="E38" i="17"/>
  <c r="E39" i="17"/>
  <c r="E40" i="17"/>
  <c r="E41" i="17"/>
  <c r="E2" i="17"/>
  <c r="J3" i="4"/>
  <c r="L3" i="4" s="1"/>
  <c r="K3" i="4"/>
  <c r="J4" i="4"/>
  <c r="K4" i="4"/>
  <c r="L4" i="4"/>
  <c r="J5" i="4"/>
  <c r="K5" i="4"/>
  <c r="L5" i="4"/>
  <c r="J6" i="4"/>
  <c r="L6" i="4" s="1"/>
  <c r="K6" i="4"/>
  <c r="L2" i="4"/>
  <c r="K2" i="4"/>
  <c r="J17" i="4"/>
  <c r="L17" i="4" s="1"/>
  <c r="K17" i="4"/>
  <c r="J18" i="4"/>
  <c r="L18" i="4" s="1"/>
  <c r="K18" i="4"/>
  <c r="J19" i="4"/>
  <c r="L19" i="4" s="1"/>
  <c r="K19" i="4"/>
  <c r="J20" i="4"/>
  <c r="L20" i="4" s="1"/>
  <c r="K20" i="4"/>
  <c r="L16" i="4"/>
  <c r="K16" i="4"/>
  <c r="J16" i="4"/>
  <c r="J2" i="4"/>
  <c r="C2" i="22"/>
  <c r="C3" i="20" a="1"/>
  <c r="C3" i="20" s="1"/>
  <c r="C4" i="20" a="1"/>
  <c r="C4" i="20" s="1"/>
  <c r="C5" i="20" a="1"/>
  <c r="C5" i="20" s="1"/>
  <c r="C6" i="20" a="1"/>
  <c r="C6" i="20"/>
  <c r="C7" i="20" a="1"/>
  <c r="C7" i="20" s="1"/>
  <c r="C8" i="20" a="1"/>
  <c r="C8" i="20" s="1"/>
  <c r="C9" i="20" a="1"/>
  <c r="C9" i="20" s="1"/>
  <c r="C10" i="20" a="1"/>
  <c r="C10" i="20"/>
  <c r="C11" i="20" a="1"/>
  <c r="C11" i="20" s="1"/>
  <c r="C3" i="22"/>
  <c r="C4" i="22"/>
  <c r="C5" i="22"/>
  <c r="C6" i="22"/>
  <c r="C7" i="22"/>
  <c r="C8" i="22"/>
  <c r="C9" i="22"/>
  <c r="C10" i="22"/>
  <c r="C11" i="22"/>
  <c r="C12" i="22"/>
  <c r="C13" i="22"/>
  <c r="C14" i="22"/>
  <c r="C15" i="22"/>
  <c r="C16" i="22"/>
  <c r="C17" i="22"/>
  <c r="C18" i="22"/>
  <c r="C19" i="22"/>
  <c r="C20" i="22"/>
  <c r="C21" i="22"/>
  <c r="C3" i="21"/>
  <c r="C4" i="21"/>
  <c r="C5" i="21"/>
  <c r="C6" i="21"/>
  <c r="C7" i="21"/>
  <c r="C8" i="21"/>
  <c r="C9" i="21"/>
  <c r="C10" i="21"/>
  <c r="C11" i="21"/>
  <c r="C12" i="21"/>
  <c r="C13" i="21"/>
  <c r="C14" i="21"/>
  <c r="C15" i="21"/>
  <c r="C16" i="21"/>
  <c r="C17" i="21"/>
  <c r="C18" i="21"/>
  <c r="C19" i="21"/>
  <c r="C20" i="21"/>
  <c r="C21" i="21"/>
  <c r="D105" i="6"/>
  <c r="D106" i="6"/>
  <c r="D107" i="6"/>
  <c r="D108" i="6"/>
  <c r="D109" i="6"/>
  <c r="D110" i="6"/>
  <c r="D111" i="6"/>
  <c r="D91" i="6"/>
  <c r="D92" i="6"/>
  <c r="D93" i="6"/>
  <c r="D94" i="6"/>
  <c r="D72" i="6"/>
  <c r="D73" i="6"/>
  <c r="D74" i="6"/>
  <c r="D75" i="6"/>
  <c r="D76" i="6"/>
  <c r="D77" i="6"/>
  <c r="D78" i="6"/>
  <c r="D79" i="6"/>
  <c r="D48" i="6"/>
  <c r="D49" i="6"/>
  <c r="D50" i="6"/>
  <c r="D51" i="6"/>
  <c r="D52" i="6"/>
  <c r="D53" i="6"/>
  <c r="D54" i="6"/>
  <c r="D55" i="6"/>
  <c r="D47" i="6"/>
  <c r="E15" i="6"/>
  <c r="E16" i="6"/>
  <c r="E17" i="6"/>
  <c r="E18" i="6"/>
  <c r="E19" i="6"/>
  <c r="E20" i="6"/>
  <c r="E21" i="6"/>
  <c r="E22" i="6"/>
  <c r="E23" i="6"/>
  <c r="E24" i="6"/>
  <c r="E25" i="6"/>
  <c r="E26" i="6"/>
  <c r="E27" i="6"/>
  <c r="E28" i="6"/>
  <c r="E29" i="6"/>
  <c r="E30" i="6"/>
  <c r="E14" i="6"/>
  <c r="D15" i="6"/>
  <c r="D16" i="6"/>
  <c r="D17" i="6"/>
  <c r="D18" i="6"/>
  <c r="D19" i="6"/>
  <c r="D20" i="6"/>
  <c r="D21" i="6"/>
  <c r="D22" i="6"/>
  <c r="D23" i="6"/>
  <c r="D24" i="6"/>
  <c r="D25" i="6"/>
  <c r="D26" i="6"/>
  <c r="D27" i="6"/>
  <c r="D28" i="6"/>
  <c r="D29" i="6"/>
  <c r="D30" i="6"/>
  <c r="D14" i="6"/>
  <c r="C3" i="6"/>
  <c r="C4" i="6"/>
  <c r="C5" i="6"/>
  <c r="C2" i="6"/>
  <c r="D17" i="1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<sst xmlns="http://schemas.openxmlformats.org/spreadsheetml/2006/main" count="753" uniqueCount="509">
  <si>
    <t>قيمة الفاتوره</t>
  </si>
  <si>
    <t>نسبة الخصم</t>
  </si>
  <si>
    <t>كود العميل</t>
  </si>
  <si>
    <t>البلد</t>
  </si>
  <si>
    <t>رقم الفاتوره</t>
  </si>
  <si>
    <t>قيمة الخصم</t>
  </si>
  <si>
    <t>C-52234</t>
  </si>
  <si>
    <t>Kuwait</t>
  </si>
  <si>
    <t>Inv-5318398</t>
  </si>
  <si>
    <t>C-49675</t>
  </si>
  <si>
    <t>C-25083</t>
  </si>
  <si>
    <t>Inv-7719375</t>
  </si>
  <si>
    <t>C-24827</t>
  </si>
  <si>
    <t>United Arab Emirates</t>
  </si>
  <si>
    <t>Inv-7436206</t>
  </si>
  <si>
    <t>C-46375</t>
  </si>
  <si>
    <t>Egypt</t>
  </si>
  <si>
    <t>Inv-7854161</t>
  </si>
  <si>
    <t>C-45856</t>
  </si>
  <si>
    <t>Inv-5188269</t>
  </si>
  <si>
    <t>C-53284</t>
  </si>
  <si>
    <t>Iraq</t>
  </si>
  <si>
    <t>Inv-9806211</t>
  </si>
  <si>
    <t>C-56076</t>
  </si>
  <si>
    <t>Inv-4642891</t>
  </si>
  <si>
    <t>C-52715</t>
  </si>
  <si>
    <t>Inv-9214704</t>
  </si>
  <si>
    <t>C-40956</t>
  </si>
  <si>
    <t>Inv-7802372</t>
  </si>
  <si>
    <t>C-64091</t>
  </si>
  <si>
    <t>Inv-7855361</t>
  </si>
  <si>
    <t>C-37462</t>
  </si>
  <si>
    <t>Algeria</t>
  </si>
  <si>
    <t>Inv-6766593</t>
  </si>
  <si>
    <t>C-77391</t>
  </si>
  <si>
    <t>Inv-8320835</t>
  </si>
  <si>
    <t>Inv-8522011</t>
  </si>
  <si>
    <t>C-40180</t>
  </si>
  <si>
    <t>Inv-7002952</t>
  </si>
  <si>
    <t>C-47900</t>
  </si>
  <si>
    <t>Inv-8194048</t>
  </si>
  <si>
    <t>C-21333</t>
  </si>
  <si>
    <t>Inv-6491681</t>
  </si>
  <si>
    <t>C-70243</t>
  </si>
  <si>
    <t>Inv-8668237</t>
  </si>
  <si>
    <t>C-50436</t>
  </si>
  <si>
    <t>Inv-5486700</t>
  </si>
  <si>
    <t>C-28241</t>
  </si>
  <si>
    <t>Inv-7054853</t>
  </si>
  <si>
    <t>C-55729</t>
  </si>
  <si>
    <t>Saudi Arabia</t>
  </si>
  <si>
    <t>Inv-6569279</t>
  </si>
  <si>
    <t>C-52044</t>
  </si>
  <si>
    <t>Inv-5448981</t>
  </si>
  <si>
    <t>C-28536</t>
  </si>
  <si>
    <t>Inv-9487950</t>
  </si>
  <si>
    <t>C-60393</t>
  </si>
  <si>
    <t>Inv-9386807</t>
  </si>
  <si>
    <t>C-72064</t>
  </si>
  <si>
    <t>Inv-5556931</t>
  </si>
  <si>
    <t>C-51394</t>
  </si>
  <si>
    <t>Inv-7604945</t>
  </si>
  <si>
    <t>C-79229</t>
  </si>
  <si>
    <t>Inv-8456870</t>
  </si>
  <si>
    <t>C-71415</t>
  </si>
  <si>
    <t>Inv-9525997</t>
  </si>
  <si>
    <t>C-76929</t>
  </si>
  <si>
    <t>Inv-8319129</t>
  </si>
  <si>
    <t>C-79516</t>
  </si>
  <si>
    <t>Inv-8647233</t>
  </si>
  <si>
    <t>C-73869</t>
  </si>
  <si>
    <t>Inv-9797747</t>
  </si>
  <si>
    <t>C-49466</t>
  </si>
  <si>
    <t>Inv-5539480</t>
  </si>
  <si>
    <t>C-22037</t>
  </si>
  <si>
    <t>Inv-7729628</t>
  </si>
  <si>
    <t>C-47679</t>
  </si>
  <si>
    <t>Inv-8783827</t>
  </si>
  <si>
    <t>C-43925</t>
  </si>
  <si>
    <t>Inv-9884600</t>
  </si>
  <si>
    <t>C-45739</t>
  </si>
  <si>
    <t>Inv-6147471</t>
  </si>
  <si>
    <t>C-26908</t>
  </si>
  <si>
    <t>Inv-8482613</t>
  </si>
  <si>
    <t>C-75158</t>
  </si>
  <si>
    <t>Inv-6896050</t>
  </si>
  <si>
    <t>C-34236</t>
  </si>
  <si>
    <t>Inv-9330643</t>
  </si>
  <si>
    <t>C-28546</t>
  </si>
  <si>
    <t>Inv-5757030</t>
  </si>
  <si>
    <t>C-42218</t>
  </si>
  <si>
    <t>Inv-4912603</t>
  </si>
  <si>
    <t>اسم الطالب</t>
  </si>
  <si>
    <t>النتيجة</t>
  </si>
  <si>
    <t>Good</t>
  </si>
  <si>
    <t>قيمة الفاتورة</t>
  </si>
  <si>
    <t>الخصم</t>
  </si>
  <si>
    <t>=IF(logical_test, [value_if_true], [value_if_false])</t>
  </si>
  <si>
    <t>Logical test</t>
  </si>
  <si>
    <t>الشرط</t>
  </si>
  <si>
    <t> [value_if_true]</t>
  </si>
  <si>
    <t>لو الشرط تحقق</t>
  </si>
  <si>
    <t> [value_if_false])</t>
  </si>
  <si>
    <t>لو الشرط متحققش</t>
  </si>
  <si>
    <t>الدالة IF</t>
  </si>
  <si>
    <t>الدالة IF من الدالات الأكثر شيوعاً في Excel، وتتيح لك إجراء مقارنات منطقية بين قيمة وما كنت تتوقعه.</t>
  </si>
  <si>
    <t>ولذا يمكن أن تكون لعبارة IF نتيجتان. النتيجة الأولى هي إذا كانت مقارنتك True، والثانية إذا كانت المقارنة False.</t>
  </si>
  <si>
    <t>‎=IF(C2=”Yes”,1,2)‎</t>
  </si>
  <si>
    <t>في المثال دة، تشير الصيغة في الخلية D2 إلى ما يلي:
 ‏إذا كان IF(C2‏ = Yes يتم إرجاع 1، وبخلاف ذلك يتم إرجاع 2)</t>
  </si>
  <si>
    <t>‎=IF(C2&gt;B2,”تجاوز الميزانية”,”ضمن الميزانية”)‎</t>
  </si>
  <si>
    <t>في المثال أعلاه، تشير الدالة IF في D2 إذا كان
 (C2 أكبر من B2، يتم إرجاع "تجاوز الميزانية"، وبخلاف ذلك يتم إرجاع "ضمن الميزانية")</t>
  </si>
  <si>
    <t>هو الشرط، كمقارنة قيمتين أو خليتين فيما إذا كانت إحدى القيم أكبر من الأخرى، وهذا الشرط مطلوب تحديده في الصيغة.</t>
  </si>
  <si>
    <t>هي القيمة التي يتم إرجاعها إذا تحقق الشرط، وتحديدها في الصيغة مطلوب.</t>
  </si>
  <si>
    <t>هي القيمة التي يتم إرجاعا إذا لم يتحقق الشرط، وتحديدها في الصيغة اختياري.</t>
  </si>
  <si>
    <t>دوال IF المتداخلة 
أو
IF المركبة
أو
Nested IF</t>
  </si>
  <si>
    <t>ويُقصد بها دالة IF داخل دالة IF أخرى، وهذه الصيغة تتيح لك اختبار العديد من المعايير وزيادة عدد النتائج المحتملة. وسنوضح طريقة كتابة الصيغة بالمثالين التاليين:</t>
  </si>
  <si>
    <t>IF المتداخلة</t>
  </si>
  <si>
    <t>name</t>
  </si>
  <si>
    <t>sales</t>
  </si>
  <si>
    <t>target achievment</t>
  </si>
  <si>
    <t>target</t>
  </si>
  <si>
    <t>mohamed</t>
  </si>
  <si>
    <t>ahmed</t>
  </si>
  <si>
    <t>ibrahim</t>
  </si>
  <si>
    <t>ismail</t>
  </si>
  <si>
    <t>$F$2</t>
  </si>
  <si>
    <r>
      <rPr>
        <sz val="18"/>
        <color rgb="FFFF0000"/>
        <rFont val="Calibri"/>
        <family val="2"/>
        <scheme val="minor"/>
      </rPr>
      <t>نضغط F4</t>
    </r>
    <r>
      <rPr>
        <sz val="18"/>
        <color theme="1"/>
        <rFont val="Calibri"/>
        <family val="2"/>
        <scheme val="minor"/>
      </rPr>
      <t xml:space="preserve"> علشان نثبت الخلية علشان لو نزلنا او طلعنا فى الخلايا 
الخلية دى تكون ثابتة</t>
    </r>
  </si>
  <si>
    <t>درجة العملي</t>
  </si>
  <si>
    <t>درجة النظري</t>
  </si>
  <si>
    <t>مجموع الدرجات</t>
  </si>
  <si>
    <t>ابراهيم الحميد</t>
  </si>
  <si>
    <t>احمد الدولتلي</t>
  </si>
  <si>
    <t>احمد الغوراني</t>
  </si>
  <si>
    <t>احمد المصري</t>
  </si>
  <si>
    <t>احمد النجار</t>
  </si>
  <si>
    <t>احمد دبا</t>
  </si>
  <si>
    <t>احمد دعاس</t>
  </si>
  <si>
    <t>احمد زيد</t>
  </si>
  <si>
    <t>احمد قضباشي</t>
  </si>
  <si>
    <t>اسامة الحداد</t>
  </si>
  <si>
    <t>اسامة صعلوك</t>
  </si>
  <si>
    <t>اسراء أبوهاني</t>
  </si>
  <si>
    <t>اسراء جمعه</t>
  </si>
  <si>
    <t>اشرف العيد</t>
  </si>
  <si>
    <t>اكثم عبدالباقي</t>
  </si>
  <si>
    <t>اكرم الحلواني</t>
  </si>
  <si>
    <t>الاء عفا الرفاعي</t>
  </si>
  <si>
    <t>اذا كان اكبر من او يساوى 60 يكون ناجح</t>
  </si>
  <si>
    <t>قاعدة VLOOKUP في الإكسل هي واحدة من الأدوات الأكثر استخدامًا في برامج الجداول الإلكترونية. تُستخدم للبحث عن قيمة معينة في عمود من جدول وإرجاع قيمة مقابلة من عمود آخر في نفس الصف. فيما يلي شرح تفصيلي لكيفية استخدام دالة VLOOKUP:</t>
  </si>
  <si>
    <t>مكونات دالة VLOOKUP</t>
  </si>
  <si>
    <r>
      <t>1. القيمة التي تبحث عنها (lookup_value)</t>
    </r>
    <r>
      <rPr>
        <sz val="14"/>
        <color theme="1"/>
        <rFont val="Calibri"/>
        <family val="2"/>
        <scheme val="minor"/>
      </rPr>
      <t>: هي القيمة التي تريد البحث عنها في العمود الأول من الجدول.</t>
    </r>
  </si>
  <si>
    <r>
      <t>2. نطاق البحث (table_array)</t>
    </r>
    <r>
      <rPr>
        <sz val="14"/>
        <color theme="1"/>
        <rFont val="Calibri"/>
        <family val="2"/>
        <scheme val="minor"/>
      </rPr>
      <t>: هو النطاق الذي يحتوي على البيانات. يجب أن يكون العمود الأول من هذا النطاق هو العمود الذي يحتوي على القيمة التي تبحث عنها.</t>
    </r>
  </si>
  <si>
    <r>
      <t>3. رقم العمود (col_index_num)</t>
    </r>
    <r>
      <rPr>
        <b/>
        <sz val="11"/>
        <color theme="1"/>
        <rFont val="Calibri"/>
        <family val="2"/>
        <scheme val="minor"/>
      </rPr>
      <t>: هو رقم العمود في نطاق البحث الذي يحتوي على القيمة التي تريد إرجاعها.</t>
    </r>
  </si>
  <si>
    <r>
      <t>4. نوع المطابقة (range_lookup)</t>
    </r>
    <r>
      <rPr>
        <b/>
        <sz val="11"/>
        <color theme="1"/>
        <rFont val="Calibri"/>
        <family val="2"/>
        <scheme val="minor"/>
      </rPr>
      <t xml:space="preserve">: هو اختيار اختياري. يمكن أن يكون </t>
    </r>
    <r>
      <rPr>
        <b/>
        <sz val="10"/>
        <color theme="1"/>
        <rFont val="Arial Unicode MS"/>
        <family val="2"/>
      </rPr>
      <t>TRUE</t>
    </r>
    <r>
      <rPr>
        <b/>
        <sz val="11"/>
        <color theme="1"/>
        <rFont val="Calibri"/>
        <family val="2"/>
        <scheme val="minor"/>
      </rPr>
      <t xml:space="preserve"> أو </t>
    </r>
    <r>
      <rPr>
        <b/>
        <sz val="10"/>
        <color theme="1"/>
        <rFont val="Arial Unicode MS"/>
        <family val="2"/>
      </rPr>
      <t>FALSE</t>
    </r>
    <r>
      <rPr>
        <b/>
        <sz val="11"/>
        <color theme="1"/>
        <rFont val="Calibri"/>
        <family val="2"/>
        <scheme val="minor"/>
      </rPr>
      <t xml:space="preserve">. إذا كان </t>
    </r>
    <r>
      <rPr>
        <b/>
        <sz val="10"/>
        <color theme="1"/>
        <rFont val="Arial Unicode MS"/>
        <family val="2"/>
      </rPr>
      <t>TRUE</t>
    </r>
    <r>
      <rPr>
        <b/>
        <sz val="11"/>
        <color theme="1"/>
        <rFont val="Calibri"/>
        <family val="2"/>
        <scheme val="minor"/>
      </rPr>
      <t xml:space="preserve"> أو تُرك فارغًا، فإن الدالة ستبحث عن أقرب تطابق تقريبي. إذا كان </t>
    </r>
    <r>
      <rPr>
        <b/>
        <sz val="10"/>
        <color theme="1"/>
        <rFont val="Arial Unicode MS"/>
        <family val="2"/>
      </rPr>
      <t>FALSE</t>
    </r>
    <r>
      <rPr>
        <b/>
        <sz val="11"/>
        <color theme="1"/>
        <rFont val="Calibri"/>
        <family val="2"/>
        <scheme val="minor"/>
      </rPr>
      <t>، فإن الدالة ستبحث عن تطابق تام.</t>
    </r>
  </si>
  <si>
    <t>VLOOKUP(lookup_value, table_array, col_index_num, [range_lookup])</t>
  </si>
  <si>
    <t>صيغة دالة VLOOKUP</t>
  </si>
  <si>
    <r>
      <t xml:space="preserve">دالة </t>
    </r>
    <r>
      <rPr>
        <sz val="14"/>
        <color theme="1"/>
        <rFont val="Arial Unicode MS"/>
        <family val="2"/>
      </rPr>
      <t>VLOOKUP</t>
    </r>
    <r>
      <rPr>
        <sz val="14"/>
        <color theme="1"/>
        <rFont val="Calibri"/>
        <family val="2"/>
        <scheme val="minor"/>
      </rPr>
      <t xml:space="preserve"> تتكون من أربعة مكونات رئيسية:</t>
    </r>
  </si>
  <si>
    <t>AND function</t>
  </si>
  <si>
    <t>=AND(A1="Red",B1&gt;5) returns TRUE</t>
  </si>
  <si>
    <t xml:space="preserve">    Name</t>
  </si>
  <si>
    <t>Type 1</t>
  </si>
  <si>
    <t>Speed</t>
  </si>
  <si>
    <t xml:space="preserve">      Bulbasaur</t>
  </si>
  <si>
    <t>Grass</t>
  </si>
  <si>
    <t xml:space="preserve">      Ivysaur</t>
  </si>
  <si>
    <t xml:space="preserve">      Venusaur</t>
  </si>
  <si>
    <t xml:space="preserve">      Charmander</t>
  </si>
  <si>
    <t>Fire</t>
  </si>
  <si>
    <t xml:space="preserve">      Charmeleon</t>
  </si>
  <si>
    <t xml:space="preserve">      Charizard</t>
  </si>
  <si>
    <t xml:space="preserve">      Squirtle</t>
  </si>
  <si>
    <t>Water</t>
  </si>
  <si>
    <t xml:space="preserve">      Wartortle</t>
  </si>
  <si>
    <t xml:space="preserve">      Blastoise</t>
  </si>
  <si>
    <t xml:space="preserve">    </t>
  </si>
  <si>
    <t>OR function</t>
  </si>
  <si>
    <r>
      <t>The OR function returns TRUE if </t>
    </r>
    <r>
      <rPr>
        <sz val="36"/>
        <color rgb="FFFF0000"/>
        <rFont val="Calibri"/>
        <family val="2"/>
        <scheme val="minor"/>
      </rPr>
      <t>any </t>
    </r>
    <r>
      <rPr>
        <sz val="18"/>
        <color theme="1"/>
        <rFont val="Calibri"/>
        <family val="2"/>
        <scheme val="minor"/>
      </rPr>
      <t>condition is TRUE. For example, if cell A1 contains "Red" and B1 contains 10, then this formula returns TRUE because both expressions are TRUE:</t>
    </r>
  </si>
  <si>
    <r>
      <t>The AND function returns TRUE if </t>
    </r>
    <r>
      <rPr>
        <sz val="26"/>
        <color rgb="FFFF0000"/>
        <rFont val="Calibri"/>
        <family val="2"/>
        <scheme val="minor"/>
      </rPr>
      <t>all conditions</t>
    </r>
    <r>
      <rPr>
        <sz val="18"/>
        <color theme="1"/>
        <rFont val="Calibri"/>
        <family val="2"/>
        <scheme val="minor"/>
      </rPr>
      <t xml:space="preserve"> are TRUE. For example, if cell A1 contains "Red" and B1 contains 10, then this formula returns TRUE because both expressions return TRUE:</t>
    </r>
  </si>
  <si>
    <t>=OR(A1="Red",B1&gt;5) returns TRU</t>
  </si>
  <si>
    <t>Defense</t>
  </si>
  <si>
    <t xml:space="preserve">    Bulbasaur</t>
  </si>
  <si>
    <t xml:space="preserve">    Ivysaur</t>
  </si>
  <si>
    <t xml:space="preserve">    Venusaur</t>
  </si>
  <si>
    <t xml:space="preserve">    Charmander</t>
  </si>
  <si>
    <t xml:space="preserve">    Charmeleon</t>
  </si>
  <si>
    <t xml:space="preserve">    Charizard</t>
  </si>
  <si>
    <t xml:space="preserve">    Squirtle</t>
  </si>
  <si>
    <t xml:space="preserve">    Wartortle</t>
  </si>
  <si>
    <t xml:space="preserve">    Blastoise</t>
  </si>
  <si>
    <t>1. CONCATENATE</t>
  </si>
  <si>
    <t>Description: Joins two or more text strings into one string.</t>
  </si>
  <si>
    <t>Example:</t>
  </si>
  <si>
    <t>Formula: =CONCATENATE("Hello", " ", "World")</t>
  </si>
  <si>
    <t>Result: "Hello World"</t>
  </si>
  <si>
    <t>2. LEFT</t>
  </si>
  <si>
    <t>Description: Extracts a specified number of characters from the start of a text string.</t>
  </si>
  <si>
    <t>Formula: =LEFT("OpenAI", 4)</t>
  </si>
  <si>
    <t>Result: "Open"</t>
  </si>
  <si>
    <t>3. RIGHT</t>
  </si>
  <si>
    <t>Description: Extracts a specified number of characters from the end of a text string.</t>
  </si>
  <si>
    <t>Formula: =RIGHT("OpenAI", 2)</t>
  </si>
  <si>
    <t>Result: "AI"</t>
  </si>
  <si>
    <t>4. MID</t>
  </si>
  <si>
    <t>Description: Extracts a specified number of characters from a text string, starting at a given position.</t>
  </si>
  <si>
    <t>Formula: =MID("OpenAI", 2, 3)</t>
  </si>
  <si>
    <t>Result: "pen"</t>
  </si>
  <si>
    <t>5. LEN</t>
  </si>
  <si>
    <t>Description: Returns the number of characters in a text string.</t>
  </si>
  <si>
    <t>Formula: =LEN("OpenAI")</t>
  </si>
  <si>
    <t>Result: 6</t>
  </si>
  <si>
    <t>6. TRIM</t>
  </si>
  <si>
    <t>Description: Removes extra spaces from a text string, leaving only single spaces between words.</t>
  </si>
  <si>
    <t>Formula: =TRIM(" Hello World ")</t>
  </si>
  <si>
    <t>7. UPPER</t>
  </si>
  <si>
    <t>Description: Converts all characters in a text string to uppercase.</t>
  </si>
  <si>
    <t>Formula: =UPPER("OpenAI")</t>
  </si>
  <si>
    <t>Result: "OPENAI"</t>
  </si>
  <si>
    <t>8. LOWER</t>
  </si>
  <si>
    <t>Description: Converts all characters in a text string to lowercase.</t>
  </si>
  <si>
    <t>Formula: =LOWER("OpenAI")</t>
  </si>
  <si>
    <t>Result: "openai"</t>
  </si>
  <si>
    <t>9. PROPER</t>
  </si>
  <si>
    <t>Description: Capitalizes the first letter of each word in a text string.</t>
  </si>
  <si>
    <t>Formula: =PROPER("openai is amazing")</t>
  </si>
  <si>
    <t>Result: "Openai Is Amazing"</t>
  </si>
  <si>
    <t>10. SUBSTITUTE</t>
  </si>
  <si>
    <t>Description: Replaces occurrences of a specified substring with another substring in a text string.</t>
  </si>
  <si>
    <t>Formula: =SUBSTITUTE("OpenAI is cool", "cool", "awesome")</t>
  </si>
  <si>
    <t>Result: "OpenAI is awesome"</t>
  </si>
  <si>
    <t>1. TODAY</t>
  </si>
  <si>
    <t>Description: Returns the current date.</t>
  </si>
  <si>
    <t>Formula: =TODAY()</t>
  </si>
  <si>
    <t>Result: 08/09/2024 (assuming today’s date is August 9, 2024)</t>
  </si>
  <si>
    <t>2. YEAR</t>
  </si>
  <si>
    <t>Description: Extracts the year from a given date.</t>
  </si>
  <si>
    <t>Formula: =YEAR("2024-08-09")</t>
  </si>
  <si>
    <t>Result: 2024</t>
  </si>
  <si>
    <t>3. MONTH</t>
  </si>
  <si>
    <t>Description: Extracts the month from a given date.</t>
  </si>
  <si>
    <t>Formula: =MONTH("2024-08-09")</t>
  </si>
  <si>
    <t>Result: 8</t>
  </si>
  <si>
    <t>4. DAY</t>
  </si>
  <si>
    <t>Description: Extracts the day of the month from a given date.</t>
  </si>
  <si>
    <t>Formula: =DAY("2024-08-09")</t>
  </si>
  <si>
    <t>Result: 9</t>
  </si>
  <si>
    <t>8. TEXT</t>
  </si>
  <si>
    <t>Description: Formats a number or date as text in a specified format.</t>
  </si>
  <si>
    <t>Formula: =TEXT("2024-08-09", "dd-mmm-yyyy")</t>
  </si>
  <si>
    <t>Result: "09-Aug-2024"</t>
  </si>
  <si>
    <t>Month</t>
  </si>
  <si>
    <t>Jan</t>
  </si>
  <si>
    <t>Feb</t>
  </si>
  <si>
    <t>March</t>
  </si>
  <si>
    <t>April</t>
  </si>
  <si>
    <t>Sales</t>
  </si>
  <si>
    <t>Xlookup</t>
  </si>
  <si>
    <t>Student</t>
  </si>
  <si>
    <t>Score</t>
  </si>
  <si>
    <t>Attendance</t>
  </si>
  <si>
    <t>Pass / Fail?</t>
  </si>
  <si>
    <t>Batman</t>
  </si>
  <si>
    <t>Pass</t>
  </si>
  <si>
    <t>Robin</t>
  </si>
  <si>
    <t>Barbara G</t>
  </si>
  <si>
    <t>James G</t>
  </si>
  <si>
    <t>Alfred</t>
  </si>
  <si>
    <t>More Than 40</t>
  </si>
  <si>
    <t>More Than 50%</t>
  </si>
  <si>
    <r>
      <rPr>
        <b/>
        <sz val="20"/>
        <color rgb="FFFF0000"/>
        <rFont val="Calibri"/>
        <family val="2"/>
        <scheme val="minor"/>
      </rPr>
      <t>IF</t>
    </r>
    <r>
      <rPr>
        <b/>
        <sz val="20"/>
        <color theme="1"/>
        <rFont val="Calibri"/>
        <family val="2"/>
        <scheme val="minor"/>
      </rPr>
      <t xml:space="preserve"> With </t>
    </r>
    <r>
      <rPr>
        <b/>
        <sz val="20"/>
        <color theme="4"/>
        <rFont val="Calibri"/>
        <family val="2"/>
        <scheme val="minor"/>
      </rPr>
      <t>AND</t>
    </r>
  </si>
  <si>
    <t>Name</t>
  </si>
  <si>
    <t>New Clients</t>
  </si>
  <si>
    <t>Rating</t>
  </si>
  <si>
    <t>Bonus</t>
  </si>
  <si>
    <t>Sam</t>
  </si>
  <si>
    <t>Ana</t>
  </si>
  <si>
    <t>Alex</t>
  </si>
  <si>
    <t>John</t>
  </si>
  <si>
    <t>Mary</t>
  </si>
  <si>
    <t>Mike</t>
  </si>
  <si>
    <t>Jane</t>
  </si>
  <si>
    <t>Julia</t>
  </si>
  <si>
    <t>OR</t>
  </si>
  <si>
    <r>
      <rPr>
        <b/>
        <sz val="18"/>
        <color rgb="FFFF0000"/>
        <rFont val="Calibri"/>
        <family val="2"/>
        <scheme val="minor"/>
      </rPr>
      <t>IF</t>
    </r>
    <r>
      <rPr>
        <b/>
        <sz val="18"/>
        <color theme="1"/>
        <rFont val="Calibri"/>
        <family val="2"/>
        <scheme val="minor"/>
      </rPr>
      <t xml:space="preserve"> With </t>
    </r>
    <r>
      <rPr>
        <b/>
        <sz val="18"/>
        <color theme="4"/>
        <rFont val="Calibri"/>
        <family val="2"/>
        <scheme val="minor"/>
      </rPr>
      <t>OR</t>
    </r>
  </si>
  <si>
    <t>Student name</t>
  </si>
  <si>
    <t>Result</t>
  </si>
  <si>
    <t>Scores</t>
  </si>
  <si>
    <t>Brian</t>
  </si>
  <si>
    <t xml:space="preserve">Excellent </t>
  </si>
  <si>
    <t>Over 249</t>
  </si>
  <si>
    <t>Christian</t>
  </si>
  <si>
    <t>249 to 200</t>
  </si>
  <si>
    <t>Colin</t>
  </si>
  <si>
    <t>Satisfactory</t>
  </si>
  <si>
    <t>199 to 150</t>
  </si>
  <si>
    <t>Laura</t>
  </si>
  <si>
    <t>Poor</t>
  </si>
  <si>
    <t>Under  150</t>
  </si>
  <si>
    <t>Melissa</t>
  </si>
  <si>
    <t>Neal</t>
  </si>
  <si>
    <t>Peter</t>
  </si>
  <si>
    <t>Rachel</t>
  </si>
  <si>
    <t>Emp ID</t>
  </si>
  <si>
    <t>Education Qualification</t>
  </si>
  <si>
    <t>Date of Join</t>
  </si>
  <si>
    <t>Job Title</t>
  </si>
  <si>
    <t>Salary</t>
  </si>
  <si>
    <t>Age</t>
  </si>
  <si>
    <t>Employee ID</t>
  </si>
  <si>
    <t>Ahmed Hassan El-Sayed</t>
  </si>
  <si>
    <t>AC0001</t>
  </si>
  <si>
    <t>Bachelor's Degree</t>
  </si>
  <si>
    <t>Chocolatier</t>
  </si>
  <si>
    <t>AC0017</t>
  </si>
  <si>
    <t>Mohamed Ali Ibrahim</t>
  </si>
  <si>
    <t>AC0002</t>
  </si>
  <si>
    <t>Diploma</t>
  </si>
  <si>
    <t>Production Operator</t>
  </si>
  <si>
    <t>AC0029</t>
  </si>
  <si>
    <t>Amr Mahmoud Abdelrahman</t>
  </si>
  <si>
    <t>AC0003</t>
  </si>
  <si>
    <t>High School Diploma</t>
  </si>
  <si>
    <t>Packaging Associate</t>
  </si>
  <si>
    <t>AC0005</t>
  </si>
  <si>
    <t>Karim Ahmed Salah</t>
  </si>
  <si>
    <t>AC0004</t>
  </si>
  <si>
    <t>Marketing Specialist</t>
  </si>
  <si>
    <t>AC0010</t>
  </si>
  <si>
    <t>Omar Youssef Hamed</t>
  </si>
  <si>
    <t>Master's Degree</t>
  </si>
  <si>
    <t>Research Scientist</t>
  </si>
  <si>
    <t>AC0025</t>
  </si>
  <si>
    <t>Mahmoud Tarek Hussein</t>
  </si>
  <si>
    <t>AC0006</t>
  </si>
  <si>
    <t>Sales Representative</t>
  </si>
  <si>
    <t>Youssef Amr Ezzat</t>
  </si>
  <si>
    <t>AC0007</t>
  </si>
  <si>
    <t>Tarek Mohamed Fathi</t>
  </si>
  <si>
    <t>AC0008</t>
  </si>
  <si>
    <t>Quality Control</t>
  </si>
  <si>
    <t>Hossam Ahmed Naguib</t>
  </si>
  <si>
    <t>AC0009</t>
  </si>
  <si>
    <t>Research Analyst</t>
  </si>
  <si>
    <t>Sherif Omar Galal</t>
  </si>
  <si>
    <t>Product Manager</t>
  </si>
  <si>
    <t>Mostafa Hassan Tawfik</t>
  </si>
  <si>
    <t>AC0011</t>
  </si>
  <si>
    <t>Ali Khaled Moustafa</t>
  </si>
  <si>
    <t>AC0012</t>
  </si>
  <si>
    <t>Ayman Ahmed Abdelkader</t>
  </si>
  <si>
    <t>AC0013</t>
  </si>
  <si>
    <t>Islam Hossam Badr</t>
  </si>
  <si>
    <t>AC0014</t>
  </si>
  <si>
    <t>Marketing Manager</t>
  </si>
  <si>
    <t>Ehab Sherif Kamal</t>
  </si>
  <si>
    <t>AC0015</t>
  </si>
  <si>
    <t>Rami Tamer Mahmoud</t>
  </si>
  <si>
    <t>AC0016</t>
  </si>
  <si>
    <t>Wael Mohamed Nour</t>
  </si>
  <si>
    <t>Khaled Tarek Hamdy</t>
  </si>
  <si>
    <t>AC0018</t>
  </si>
  <si>
    <t>Hany Ahmed Gamal</t>
  </si>
  <si>
    <t>AC0019</t>
  </si>
  <si>
    <t>Nader Hossam Zaki</t>
  </si>
  <si>
    <t>AC0020</t>
  </si>
  <si>
    <t>Hesham Mohamed Ramadan</t>
  </si>
  <si>
    <t>AC0021</t>
  </si>
  <si>
    <t>Magdy Karim Saad</t>
  </si>
  <si>
    <t>AC0022</t>
  </si>
  <si>
    <t>Maged Adel Sabry</t>
  </si>
  <si>
    <t>AC0023</t>
  </si>
  <si>
    <t>Fathy Amr Salah</t>
  </si>
  <si>
    <t>AC0024</t>
  </si>
  <si>
    <t>Samy Mahmoud Fawzy</t>
  </si>
  <si>
    <t>Adel Yasser Samir</t>
  </si>
  <si>
    <t>AC0026</t>
  </si>
  <si>
    <t>Saeed Hassan Abdelaziz</t>
  </si>
  <si>
    <t>AC0027</t>
  </si>
  <si>
    <t>Shady Mohamed Anwar</t>
  </si>
  <si>
    <t>AC0028</t>
  </si>
  <si>
    <t>Galal Ahmed Ragab</t>
  </si>
  <si>
    <t>Basem Tarek Wahid</t>
  </si>
  <si>
    <t>AC0030</t>
  </si>
  <si>
    <t>Essam Omar El-Shenawy</t>
  </si>
  <si>
    <t>AC0031</t>
  </si>
  <si>
    <t>Salah Amr El-Din</t>
  </si>
  <si>
    <t>AC0032</t>
  </si>
  <si>
    <t>Mansour Hossam Ali</t>
  </si>
  <si>
    <t>AC0033</t>
  </si>
  <si>
    <t>Sayed Youssef Adel</t>
  </si>
  <si>
    <t>AC0034</t>
  </si>
  <si>
    <t>Nour Ahmed Sherif</t>
  </si>
  <si>
    <t>AC0035</t>
  </si>
  <si>
    <r>
      <t xml:space="preserve">Let's say our company is based in </t>
    </r>
    <r>
      <rPr>
        <sz val="24"/>
        <color theme="4"/>
        <rFont val="Calibri"/>
        <family val="2"/>
        <scheme val="minor"/>
      </rPr>
      <t>North Carolina</t>
    </r>
    <r>
      <rPr>
        <sz val="24"/>
        <color theme="1"/>
        <rFont val="Calibri"/>
        <family val="2"/>
        <scheme val="minor"/>
      </rPr>
      <t xml:space="preserve"> and we want to know which of our donors are local. Which of the following IF functions would place the word "Yes" for donors from North Carolina and "No" for those who live out of state?</t>
    </r>
  </si>
  <si>
    <t>=(IF E2=NC, "No", "Yes")</t>
  </si>
  <si>
    <t xml:space="preserve"> =IF(E2=NC, "No", "Yes")</t>
  </si>
  <si>
    <t xml:space="preserve"> =IF("NC", "Yes", "No")</t>
  </si>
  <si>
    <t xml:space="preserve"> =IF(E2="NC", "Yes", "No")</t>
  </si>
  <si>
    <r>
      <rPr>
        <b/>
        <sz val="16"/>
        <color rgb="FFFF0000"/>
        <rFont val="Calibri"/>
        <family val="2"/>
        <scheme val="minor"/>
      </rPr>
      <t>Fire</t>
    </r>
    <r>
      <rPr>
        <sz val="16"/>
        <color theme="1"/>
        <rFont val="Calibri"/>
        <family val="2"/>
        <scheme val="minor"/>
      </rPr>
      <t xml:space="preserve"> Type AND more than </t>
    </r>
    <r>
      <rPr>
        <b/>
        <sz val="16"/>
        <color rgb="FFFF0000"/>
        <rFont val="Calibri"/>
        <family val="2"/>
        <scheme val="minor"/>
      </rPr>
      <t>70</t>
    </r>
    <r>
      <rPr>
        <sz val="16"/>
        <color theme="1"/>
        <rFont val="Calibri"/>
        <family val="2"/>
        <scheme val="minor"/>
      </rPr>
      <t xml:space="preserve"> Speed</t>
    </r>
  </si>
  <si>
    <r>
      <rPr>
        <b/>
        <sz val="18"/>
        <color rgb="FFFF0000"/>
        <rFont val="Calibri"/>
        <family val="2"/>
        <scheme val="minor"/>
      </rPr>
      <t>Water</t>
    </r>
    <r>
      <rPr>
        <sz val="18"/>
        <color theme="1"/>
        <rFont val="Calibri"/>
        <family val="2"/>
        <scheme val="minor"/>
      </rPr>
      <t xml:space="preserve"> Type OR more than </t>
    </r>
    <r>
      <rPr>
        <b/>
        <sz val="18"/>
        <color rgb="FFFF0000"/>
        <rFont val="Calibri"/>
        <family val="2"/>
        <scheme val="minor"/>
      </rPr>
      <t>60</t>
    </r>
    <r>
      <rPr>
        <sz val="18"/>
        <color theme="1"/>
        <rFont val="Calibri"/>
        <family val="2"/>
        <scheme val="minor"/>
      </rPr>
      <t xml:space="preserve"> Defense</t>
    </r>
  </si>
  <si>
    <t>Employee Name</t>
  </si>
  <si>
    <t>Phone Number</t>
  </si>
  <si>
    <t>Hossam Mahmoud Khaled</t>
  </si>
  <si>
    <t>Project Manager</t>
  </si>
  <si>
    <t>Rania Youssef Mohamed</t>
  </si>
  <si>
    <t>HR Manager</t>
  </si>
  <si>
    <t>Amira Ali Ahmed</t>
  </si>
  <si>
    <t>Software Engineer</t>
  </si>
  <si>
    <t>Layla Hassan Mohamed</t>
  </si>
  <si>
    <t>Accountant</t>
  </si>
  <si>
    <t>Heba Mohamed Saeed</t>
  </si>
  <si>
    <t>Omar Khaled Mostafa</t>
  </si>
  <si>
    <t>Sarah Youssef Abdelrahman</t>
  </si>
  <si>
    <t>Mahmoud Ali Hassan</t>
  </si>
  <si>
    <t>Mohamed Ali Youssef</t>
  </si>
  <si>
    <t>Ahmed Hassan Saad</t>
  </si>
  <si>
    <t>Nourhan Youssef Abdelfattah</t>
  </si>
  <si>
    <t>Khaled Mohamed Hassan</t>
  </si>
  <si>
    <t>Abdelrahman Ahmed Mostafa</t>
  </si>
  <si>
    <t>Karim Mohamed Abdullah</t>
  </si>
  <si>
    <t>Mariam Ali Hassan</t>
  </si>
  <si>
    <t>Nada Mohamed Abdelhamid</t>
  </si>
  <si>
    <t>Aya Abdelrahman Khaled</t>
  </si>
  <si>
    <t>Islam Ahmed Ali</t>
  </si>
  <si>
    <t>Amr Salah Ibrahim</t>
  </si>
  <si>
    <t>Abdullah Mahmoud Mohamed</t>
  </si>
  <si>
    <t>Noor Amr Ibrahim</t>
  </si>
  <si>
    <t>Youssef Ahmed Abdelrahman</t>
  </si>
  <si>
    <t>Ali Mohamed Hassan</t>
  </si>
  <si>
    <t>Fatma Youssef Saeed</t>
  </si>
  <si>
    <t>Sara Khaled Mohamed</t>
  </si>
  <si>
    <t>Mostafa Abdelrahman Kamel</t>
  </si>
  <si>
    <t>Yasmin Mohamed Abdelfattah</t>
  </si>
  <si>
    <t>Ahmed Ali Mostafa</t>
  </si>
  <si>
    <t>Mahmoud Hassan Abdallah</t>
  </si>
  <si>
    <t>Mohamed Ahmed Ali</t>
  </si>
  <si>
    <t>Brand</t>
  </si>
  <si>
    <t>Sales Invoice</t>
  </si>
  <si>
    <t>Dicount</t>
  </si>
  <si>
    <t>Discount</t>
  </si>
  <si>
    <t>Other</t>
  </si>
  <si>
    <t>Samsung</t>
  </si>
  <si>
    <t>Apple</t>
  </si>
  <si>
    <t>Xiaomi</t>
  </si>
  <si>
    <t>Huawei</t>
  </si>
  <si>
    <t>OnePlus</t>
  </si>
  <si>
    <t>Oppo</t>
  </si>
  <si>
    <t>Google</t>
  </si>
  <si>
    <t>Item</t>
  </si>
  <si>
    <t>Potato</t>
  </si>
  <si>
    <t>Steak</t>
  </si>
  <si>
    <t>Coffee</t>
  </si>
  <si>
    <t>Employee</t>
  </si>
  <si>
    <t>Salary Level</t>
  </si>
  <si>
    <t>Ahmed</t>
  </si>
  <si>
    <t>Mona</t>
  </si>
  <si>
    <t>Karim</t>
  </si>
  <si>
    <t>Sara</t>
  </si>
  <si>
    <t>Nader</t>
  </si>
  <si>
    <t>Laila</t>
  </si>
  <si>
    <t>Youssef</t>
  </si>
  <si>
    <t>Hala</t>
  </si>
  <si>
    <t>Tarek</t>
  </si>
  <si>
    <t>Nour</t>
  </si>
  <si>
    <t>Dina</t>
  </si>
  <si>
    <t>Farid</t>
  </si>
  <si>
    <t>Rami</t>
  </si>
  <si>
    <t>Salma</t>
  </si>
  <si>
    <t>Hossam</t>
  </si>
  <si>
    <t>Basma</t>
  </si>
  <si>
    <t>Ziad</t>
  </si>
  <si>
    <t>Khaled</t>
  </si>
  <si>
    <t>Marwa</t>
  </si>
  <si>
    <t>Amr</t>
  </si>
  <si>
    <t>Sales Amount</t>
  </si>
  <si>
    <t>Sales Person</t>
  </si>
  <si>
    <t>Ahmed Hassan</t>
  </si>
  <si>
    <t>Mona Saeed</t>
  </si>
  <si>
    <t>Karim Youssef</t>
  </si>
  <si>
    <t>Sara Nabil</t>
  </si>
  <si>
    <t>Nader Ismail</t>
  </si>
  <si>
    <t>Laila Salem</t>
  </si>
  <si>
    <t>Youssef Tarek</t>
  </si>
  <si>
    <t>Hala Omar</t>
  </si>
  <si>
    <t>Tarek Adel</t>
  </si>
  <si>
    <t>Nour Zaki</t>
  </si>
  <si>
    <t>Dina Khaled</t>
  </si>
  <si>
    <t>Farid Mahmoud</t>
  </si>
  <si>
    <t>Rami Ayman</t>
  </si>
  <si>
    <t>Salma Fathy</t>
  </si>
  <si>
    <t>Hossam Farouk</t>
  </si>
  <si>
    <t>Basma Said</t>
  </si>
  <si>
    <t>Ziad Ramy</t>
  </si>
  <si>
    <t>Khaled Anwar</t>
  </si>
  <si>
    <t>Marwa Fares</t>
  </si>
  <si>
    <t>Amr Hamdy</t>
  </si>
  <si>
    <r>
      <t>Scenario:
You have a list of salespersons with their first and last names and their sales amount. You want to classify their performance based on sales targets:
If the sales are 10000 or more: "</t>
    </r>
    <r>
      <rPr>
        <b/>
        <sz val="14"/>
        <color theme="1"/>
        <rFont val="Calibri"/>
        <family val="2"/>
        <scheme val="minor"/>
      </rPr>
      <t>Top Performer</t>
    </r>
    <r>
      <rPr>
        <sz val="14"/>
        <color theme="1"/>
        <rFont val="Calibri"/>
        <family val="2"/>
        <scheme val="minor"/>
      </rPr>
      <t>"
If the sales are between 7000 and 9999: "</t>
    </r>
    <r>
      <rPr>
        <b/>
        <sz val="14"/>
        <color theme="1"/>
        <rFont val="Calibri"/>
        <family val="2"/>
        <scheme val="minor"/>
      </rPr>
      <t>Good Performer</t>
    </r>
    <r>
      <rPr>
        <sz val="14"/>
        <color theme="1"/>
        <rFont val="Calibri"/>
        <family val="2"/>
        <scheme val="minor"/>
      </rPr>
      <t>"
If the sales are between 4000 and 6999: "</t>
    </r>
    <r>
      <rPr>
        <b/>
        <sz val="14"/>
        <color theme="1"/>
        <rFont val="Calibri"/>
        <family val="2"/>
        <scheme val="minor"/>
      </rPr>
      <t>Average Performer</t>
    </r>
    <r>
      <rPr>
        <sz val="14"/>
        <color theme="1"/>
        <rFont val="Calibri"/>
        <family val="2"/>
        <scheme val="minor"/>
      </rPr>
      <t>"
If the sales are less than 4000: "</t>
    </r>
    <r>
      <rPr>
        <b/>
        <sz val="14"/>
        <color theme="1"/>
        <rFont val="Calibri"/>
        <family val="2"/>
        <scheme val="minor"/>
      </rPr>
      <t>Needs Improvement</t>
    </r>
    <r>
      <rPr>
        <sz val="14"/>
        <color theme="1"/>
        <rFont val="Calibri"/>
        <family val="2"/>
        <scheme val="minor"/>
      </rPr>
      <t>"</t>
    </r>
  </si>
  <si>
    <t>Performance</t>
  </si>
  <si>
    <t>Top Performer</t>
  </si>
  <si>
    <t>10000 &gt;=</t>
  </si>
  <si>
    <t>7000 : 9999</t>
  </si>
  <si>
    <t>Good Performer</t>
  </si>
  <si>
    <t>4000 : 6999</t>
  </si>
  <si>
    <t>Average Performer</t>
  </si>
  <si>
    <t>&lt;4000</t>
  </si>
  <si>
    <t>Needs Improvement</t>
  </si>
  <si>
    <r>
      <t>Scenario:
You have a list of employees, and you want to classify their salary levels based on the following conditions:
If the salary is 5000 or more: "</t>
    </r>
    <r>
      <rPr>
        <b/>
        <sz val="18"/>
        <color rgb="FF00B050"/>
        <rFont val="Calibri"/>
        <family val="2"/>
        <scheme val="minor"/>
      </rPr>
      <t>High</t>
    </r>
    <r>
      <rPr>
        <sz val="18"/>
        <color theme="1"/>
        <rFont val="Calibri"/>
        <family val="2"/>
        <scheme val="minor"/>
      </rPr>
      <t>"
If the salary is between 3000 and 4999: "</t>
    </r>
    <r>
      <rPr>
        <b/>
        <sz val="18"/>
        <color rgb="FFFFC000"/>
        <rFont val="Calibri"/>
        <family val="2"/>
        <scheme val="minor"/>
      </rPr>
      <t>Medium</t>
    </r>
    <r>
      <rPr>
        <sz val="18"/>
        <color theme="1"/>
        <rFont val="Calibri"/>
        <family val="2"/>
        <scheme val="minor"/>
      </rPr>
      <t>"
If the salary is less than 3000: "</t>
    </r>
    <r>
      <rPr>
        <b/>
        <sz val="18"/>
        <color rgb="FFFF0000"/>
        <rFont val="Calibri"/>
        <family val="2"/>
        <scheme val="minor"/>
      </rPr>
      <t>Low</t>
    </r>
    <r>
      <rPr>
        <sz val="18"/>
        <color theme="1"/>
        <rFont val="Calibri"/>
        <family val="2"/>
        <scheme val="minor"/>
      </rPr>
      <t>"</t>
    </r>
  </si>
  <si>
    <t>Vlookup</t>
  </si>
  <si>
    <t>with nested if</t>
  </si>
  <si>
    <t>with ifs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</si>
</sst>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4" formatCode="_(&quot;$&quot;* #,##0.00_);_(&quot;$&quot;* \(#,##0.00\);_(&quot;$&quot;* &quot;-&quot;??_);_(@_)"/>
    <numFmt numFmtId="164" formatCode="_(&quot;$&quot;* #,##0_);_(&quot;$&quot;* \(#,##0\);_(&quot;$&quot;* &quot;-&quot;??_);_(@_)"/>
    <numFmt numFmtId="167" formatCode="[$-409]d/mmm/yy;@"/>
  </numFmts>
  <fonts count="41">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charset val="178"/>
      <scheme val="minor"/>
    </font>
    <font>
      <b/>
      <sz val="16"/>
      <color theme="1"/>
      <name val="Calibri"/>
      <family val="2"/>
      <scheme val="minor"/>
    </font>
    <font>
      <b/>
      <sz val="14"/>
      <color theme="1"/>
      <name val="Calibri"/>
      <family val="2"/>
      <scheme val="minor"/>
    </font>
    <font>
      <b/>
      <sz val="18"/>
      <color theme="0"/>
      <name val="Calibri"/>
      <family val="2"/>
      <scheme val="minor"/>
    </font>
    <font>
      <b/>
      <sz val="18"/>
      <color theme="1"/>
      <name val="Calibri"/>
      <family val="2"/>
      <scheme val="minor"/>
    </font>
    <font>
      <b/>
      <sz val="13"/>
      <color theme="1"/>
      <name val="Calibri"/>
      <family val="2"/>
      <scheme val="minor"/>
    </font>
    <font>
      <sz val="14"/>
      <color theme="1"/>
      <name val="Calibri"/>
      <family val="2"/>
      <scheme val="minor"/>
    </font>
    <font>
      <sz val="16"/>
      <color theme="1"/>
      <name val="Calibri"/>
      <family val="2"/>
      <scheme val="minor"/>
    </font>
    <font>
      <sz val="18"/>
      <color theme="1"/>
      <name val="Calibri"/>
      <family val="2"/>
      <scheme val="minor"/>
    </font>
    <font>
      <sz val="16"/>
      <color rgb="FF1E1E1E"/>
      <name val="Segoe UI"/>
      <family val="2"/>
    </font>
    <font>
      <sz val="13"/>
      <color theme="1"/>
      <name val="Calibri"/>
      <family val="2"/>
      <scheme val="minor"/>
    </font>
    <font>
      <sz val="26"/>
      <color theme="1"/>
      <name val="Calibri"/>
      <family val="2"/>
      <scheme val="minor"/>
    </font>
    <font>
      <sz val="48"/>
      <color theme="1"/>
      <name val="Calibri"/>
      <family val="2"/>
      <scheme val="minor"/>
    </font>
    <font>
      <sz val="18"/>
      <color rgb="FFFF0000"/>
      <name val="Calibri"/>
      <family val="2"/>
      <scheme val="minor"/>
    </font>
    <font>
      <sz val="26"/>
      <color rgb="FFFF0000"/>
      <name val="Calibri"/>
      <family val="2"/>
      <scheme val="minor"/>
    </font>
    <font>
      <b/>
      <sz val="13.5"/>
      <color theme="1"/>
      <name val="Calibri"/>
      <family val="2"/>
      <scheme val="minor"/>
    </font>
    <font>
      <b/>
      <sz val="10"/>
      <color theme="1"/>
      <name val="Arial Unicode MS"/>
      <family val="2"/>
    </font>
    <font>
      <sz val="14"/>
      <color theme="1"/>
      <name val="Arial Unicode MS"/>
      <family val="2"/>
    </font>
    <font>
      <sz val="16"/>
      <color theme="1"/>
      <name val="Arial Unicode MS"/>
      <family val="2"/>
    </font>
    <font>
      <sz val="22"/>
      <color theme="1"/>
      <name val="Calibri"/>
      <family val="2"/>
      <scheme val="minor"/>
    </font>
    <font>
      <sz val="24"/>
      <color theme="1"/>
      <name val="Calibri"/>
      <family val="2"/>
      <scheme val="minor"/>
    </font>
    <font>
      <sz val="36"/>
      <color rgb="FFFF0000"/>
      <name val="Calibri"/>
      <family val="2"/>
      <scheme val="minor"/>
    </font>
    <font>
      <sz val="12"/>
      <color theme="1"/>
      <name val="Calibri"/>
      <family val="2"/>
      <scheme val="minor"/>
    </font>
    <font>
      <b/>
      <sz val="12"/>
      <color theme="1"/>
      <name val="Calibri"/>
      <family val="2"/>
      <scheme val="minor"/>
    </font>
    <font>
      <b/>
      <sz val="18"/>
      <color rgb="FFFF0000"/>
      <name val="Calibri"/>
      <family val="2"/>
      <scheme val="minor"/>
    </font>
    <font>
      <b/>
      <sz val="18"/>
      <color theme="4"/>
      <name val="Calibri"/>
      <family val="2"/>
      <scheme val="minor"/>
    </font>
    <font>
      <b/>
      <sz val="20"/>
      <color theme="1"/>
      <name val="Calibri"/>
      <family val="2"/>
      <scheme val="minor"/>
    </font>
    <font>
      <b/>
      <sz val="20"/>
      <color rgb="FFFF0000"/>
      <name val="Calibri"/>
      <family val="2"/>
      <scheme val="minor"/>
    </font>
    <font>
      <b/>
      <sz val="20"/>
      <color theme="4"/>
      <name val="Calibri"/>
      <family val="2"/>
      <scheme val="minor"/>
    </font>
    <font>
      <b/>
      <sz val="16"/>
      <color theme="0"/>
      <name val="Calibri"/>
      <family val="2"/>
      <scheme val="minor"/>
    </font>
    <font>
      <sz val="24"/>
      <color theme="4"/>
      <name val="Calibri"/>
      <family val="2"/>
      <scheme val="minor"/>
    </font>
    <font>
      <b/>
      <sz val="16"/>
      <color rgb="FFFF0000"/>
      <name val="Calibri"/>
      <family val="2"/>
      <scheme val="minor"/>
    </font>
    <font>
      <b/>
      <sz val="11"/>
      <color rgb="FF00B050"/>
      <name val="Calibri"/>
      <family val="2"/>
      <scheme val="minor"/>
    </font>
    <font>
      <b/>
      <sz val="11"/>
      <color rgb="FFFFC000"/>
      <name val="Calibri"/>
      <family val="2"/>
      <scheme val="minor"/>
    </font>
    <font>
      <b/>
      <sz val="11"/>
      <color rgb="FFFF0000"/>
      <name val="Calibri"/>
      <family val="2"/>
      <scheme val="minor"/>
    </font>
    <font>
      <b/>
      <sz val="18"/>
      <color rgb="FF00B050"/>
      <name val="Calibri"/>
      <family val="2"/>
      <scheme val="minor"/>
    </font>
    <font>
      <b/>
      <sz val="18"/>
      <color rgb="FFFFC000"/>
      <name val="Calibri"/>
      <family val="2"/>
      <scheme val="minor"/>
    </font>
    <font>
      <sz val="16"/>
      <color rgb="FFFF0000"/>
      <name val="Calibri"/>
      <family val="2"/>
      <scheme val="minor"/>
    </font>
  </fonts>
  <fills count="16">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1"/>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rgb="FF0070C0"/>
        <bgColor indexed="64"/>
      </patternFill>
    </fill>
    <fill>
      <patternFill patternType="solid">
        <fgColor rgb="FF00B0F0"/>
        <bgColor indexed="64"/>
      </patternFill>
    </fill>
    <fill>
      <patternFill patternType="solid">
        <fgColor rgb="FFFFC000"/>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073673"/>
        <bgColor indexed="64"/>
      </patternFill>
    </fill>
    <fill>
      <patternFill patternType="solid">
        <fgColor theme="6" tint="0.79998168889431442"/>
        <bgColor theme="6" tint="0.79998168889431442"/>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4">
    <xf numFmtId="0" fontId="0" fillId="0" borderId="0"/>
    <xf numFmtId="9" fontId="1" fillId="0" borderId="0" applyFont="0" applyFill="0" applyBorder="0" applyAlignment="0" applyProtection="0"/>
    <xf numFmtId="0" fontId="3" fillId="0" borderId="0"/>
    <xf numFmtId="44" fontId="1" fillId="0" borderId="0" applyFont="0" applyFill="0" applyBorder="0" applyAlignment="0" applyProtection="0"/>
  </cellStyleXfs>
  <cellXfs count="153">
    <xf numFmtId="0" fontId="0" fillId="0" borderId="0" xfId="0"/>
    <xf numFmtId="0" fontId="5" fillId="0" borderId="0" xfId="2" applyFont="1" applyAlignment="1">
      <alignment horizontal="center" vertical="center"/>
    </xf>
    <xf numFmtId="0" fontId="4" fillId="0" borderId="0" xfId="2" applyFont="1" applyAlignment="1">
      <alignment horizontal="center" vertical="center"/>
    </xf>
    <xf numFmtId="0" fontId="0" fillId="0" borderId="0" xfId="0" applyAlignment="1">
      <alignment horizontal="center"/>
    </xf>
    <xf numFmtId="0" fontId="8" fillId="0" borderId="0" xfId="2" applyFont="1" applyAlignment="1">
      <alignment vertical="center"/>
    </xf>
    <xf numFmtId="0" fontId="0" fillId="5" borderId="0" xfId="0" applyFill="1"/>
    <xf numFmtId="0" fontId="11" fillId="0" borderId="0" xfId="0" applyFont="1" applyAlignment="1">
      <alignment horizontal="center" wrapText="1"/>
    </xf>
    <xf numFmtId="0" fontId="0" fillId="7" borderId="0" xfId="0" applyFill="1"/>
    <xf numFmtId="0" fontId="6" fillId="8" borderId="1" xfId="0" applyFont="1" applyFill="1" applyBorder="1" applyAlignment="1">
      <alignment horizontal="center"/>
    </xf>
    <xf numFmtId="0" fontId="0" fillId="0" borderId="1" xfId="0" applyBorder="1" applyAlignment="1">
      <alignment horizontal="center"/>
    </xf>
    <xf numFmtId="0" fontId="11" fillId="0" borderId="0" xfId="0" applyFont="1"/>
    <xf numFmtId="0" fontId="11" fillId="0" borderId="1" xfId="0" applyFont="1" applyBorder="1" applyAlignment="1">
      <alignment horizontal="center"/>
    </xf>
    <xf numFmtId="0" fontId="11" fillId="0" borderId="1" xfId="0" applyFont="1" applyBorder="1"/>
    <xf numFmtId="0" fontId="11" fillId="7" borderId="0" xfId="0" applyFont="1" applyFill="1"/>
    <xf numFmtId="9" fontId="0" fillId="0" borderId="1" xfId="1" applyFont="1" applyBorder="1" applyAlignment="1">
      <alignment horizontal="center"/>
    </xf>
    <xf numFmtId="0" fontId="11" fillId="4" borderId="1" xfId="0" applyFont="1" applyFill="1" applyBorder="1" applyAlignment="1">
      <alignment horizontal="center"/>
    </xf>
    <xf numFmtId="0" fontId="16" fillId="2" borderId="1" xfId="0" applyFont="1" applyFill="1" applyBorder="1" applyAlignment="1">
      <alignment horizontal="center"/>
    </xf>
    <xf numFmtId="0" fontId="0" fillId="0" borderId="0" xfId="0" applyAlignment="1">
      <alignment horizontal="left" vertical="center" indent="1"/>
    </xf>
    <xf numFmtId="0" fontId="11" fillId="2" borderId="1" xfId="0" applyFont="1" applyFill="1" applyBorder="1" applyAlignment="1">
      <alignment horizontal="center" vertical="center" wrapText="1"/>
    </xf>
    <xf numFmtId="0" fontId="11" fillId="0" borderId="0" xfId="0" applyFont="1" applyAlignment="1">
      <alignment horizontal="center"/>
    </xf>
    <xf numFmtId="0" fontId="9" fillId="0" borderId="0" xfId="0" applyFont="1" applyAlignment="1">
      <alignment horizontal="center"/>
    </xf>
    <xf numFmtId="0" fontId="11" fillId="4"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5" fillId="2" borderId="0" xfId="0" applyFont="1" applyFill="1"/>
    <xf numFmtId="0" fontId="0" fillId="4" borderId="0" xfId="0" applyFill="1"/>
    <xf numFmtId="0" fontId="2" fillId="4" borderId="0" xfId="0" applyFont="1" applyFill="1"/>
    <xf numFmtId="0" fontId="0" fillId="9" borderId="0" xfId="0" applyFill="1"/>
    <xf numFmtId="0" fontId="9" fillId="0" borderId="0" xfId="0" applyFont="1"/>
    <xf numFmtId="0" fontId="9" fillId="0" borderId="1" xfId="0" applyFont="1" applyBorder="1" applyAlignment="1">
      <alignment horizontal="center" vertical="center"/>
    </xf>
    <xf numFmtId="3" fontId="9" fillId="0" borderId="1" xfId="0" applyNumberFormat="1" applyFont="1" applyBorder="1" applyAlignment="1">
      <alignment horizontal="center" vertical="center"/>
    </xf>
    <xf numFmtId="0" fontId="25" fillId="0" borderId="1" xfId="0" applyFont="1" applyBorder="1" applyAlignment="1">
      <alignment horizontal="center"/>
    </xf>
    <xf numFmtId="0" fontId="2" fillId="2" borderId="1" xfId="0" applyFont="1" applyFill="1" applyBorder="1" applyAlignment="1">
      <alignment horizontal="center"/>
    </xf>
    <xf numFmtId="0" fontId="2" fillId="9" borderId="1" xfId="0" applyFont="1" applyFill="1" applyBorder="1" applyAlignment="1">
      <alignment horizontal="center"/>
    </xf>
    <xf numFmtId="3" fontId="2" fillId="2" borderId="1" xfId="0" applyNumberFormat="1" applyFont="1" applyFill="1" applyBorder="1" applyAlignment="1">
      <alignment horizontal="center"/>
    </xf>
    <xf numFmtId="9" fontId="2" fillId="2" borderId="1" xfId="1" applyFont="1" applyFill="1" applyBorder="1" applyAlignment="1">
      <alignment horizontal="center"/>
    </xf>
    <xf numFmtId="3" fontId="0" fillId="0" borderId="1" xfId="0" applyNumberFormat="1" applyBorder="1" applyAlignment="1">
      <alignment horizontal="center"/>
    </xf>
    <xf numFmtId="3" fontId="0" fillId="0" borderId="0" xfId="0" applyNumberFormat="1" applyAlignment="1">
      <alignment horizontal="center"/>
    </xf>
    <xf numFmtId="9" fontId="0" fillId="0" borderId="0" xfId="1" applyFont="1" applyAlignment="1">
      <alignment horizontal="center"/>
    </xf>
    <xf numFmtId="0" fontId="2" fillId="10" borderId="1" xfId="0" applyFont="1" applyFill="1" applyBorder="1" applyAlignment="1">
      <alignment horizontal="center"/>
    </xf>
    <xf numFmtId="0" fontId="7" fillId="11" borderId="1" xfId="0" applyFont="1" applyFill="1" applyBorder="1"/>
    <xf numFmtId="0" fontId="7" fillId="11" borderId="1" xfId="0" applyFont="1" applyFill="1" applyBorder="1" applyAlignment="1">
      <alignment horizontal="center"/>
    </xf>
    <xf numFmtId="0" fontId="11" fillId="12" borderId="1" xfId="0" applyFont="1" applyFill="1" applyBorder="1" applyAlignment="1">
      <alignment horizontal="center"/>
    </xf>
    <xf numFmtId="0" fontId="11" fillId="13" borderId="1" xfId="0" applyFont="1" applyFill="1" applyBorder="1" applyAlignment="1">
      <alignment horizontal="center"/>
    </xf>
    <xf numFmtId="9" fontId="11" fillId="0" borderId="1" xfId="0" applyNumberFormat="1" applyFont="1" applyBorder="1" applyAlignment="1">
      <alignment horizontal="center"/>
    </xf>
    <xf numFmtId="0" fontId="29" fillId="2" borderId="1" xfId="0" applyFont="1" applyFill="1" applyBorder="1" applyAlignment="1">
      <alignment horizontal="center" vertical="center"/>
    </xf>
    <xf numFmtId="0" fontId="6" fillId="14" borderId="1" xfId="0" applyFont="1" applyFill="1" applyBorder="1" applyAlignment="1">
      <alignment horizontal="center" vertical="center"/>
    </xf>
    <xf numFmtId="0" fontId="6" fillId="14" borderId="1" xfId="0" applyFont="1" applyFill="1" applyBorder="1" applyAlignment="1">
      <alignment horizontal="center" vertical="center" wrapText="1"/>
    </xf>
    <xf numFmtId="0" fontId="7" fillId="11" borderId="1" xfId="0" applyFont="1" applyFill="1" applyBorder="1" applyAlignment="1">
      <alignment horizontal="center" vertical="center"/>
    </xf>
    <xf numFmtId="0" fontId="11" fillId="0" borderId="1" xfId="0" applyFont="1" applyBorder="1" applyAlignment="1">
      <alignment horizontal="center" vertical="center"/>
    </xf>
    <xf numFmtId="0" fontId="11" fillId="12" borderId="1" xfId="0" applyFont="1" applyFill="1" applyBorder="1" applyAlignment="1">
      <alignment horizontal="center" vertical="center"/>
    </xf>
    <xf numFmtId="0" fontId="4" fillId="3" borderId="0" xfId="0" applyFont="1" applyFill="1"/>
    <xf numFmtId="3" fontId="4" fillId="3" borderId="0" xfId="0" applyNumberFormat="1" applyFont="1" applyFill="1" applyAlignment="1">
      <alignment horizontal="center"/>
    </xf>
    <xf numFmtId="0" fontId="4" fillId="3" borderId="0" xfId="0" applyFont="1" applyFill="1" applyAlignment="1">
      <alignment horizontal="center"/>
    </xf>
    <xf numFmtId="0" fontId="10" fillId="0" borderId="0" xfId="0" applyFont="1"/>
    <xf numFmtId="3" fontId="10" fillId="0" borderId="0" xfId="0" applyNumberFormat="1" applyFont="1" applyAlignment="1">
      <alignment horizontal="center"/>
    </xf>
    <xf numFmtId="0" fontId="10" fillId="0" borderId="0" xfId="0" applyFont="1" applyAlignment="1">
      <alignment horizontal="center"/>
    </xf>
    <xf numFmtId="0" fontId="10" fillId="0" borderId="4" xfId="0" applyFont="1" applyBorder="1"/>
    <xf numFmtId="0" fontId="10" fillId="0" borderId="5" xfId="0" applyFont="1" applyBorder="1" applyAlignment="1">
      <alignment horizontal="center"/>
    </xf>
    <xf numFmtId="0" fontId="10" fillId="0" borderId="6" xfId="0" applyFont="1" applyBorder="1"/>
    <xf numFmtId="0" fontId="10" fillId="0" borderId="7" xfId="0" applyFont="1" applyBorder="1" applyAlignment="1">
      <alignment horizontal="center"/>
    </xf>
    <xf numFmtId="0" fontId="32" fillId="13" borderId="8" xfId="0" applyFont="1" applyFill="1" applyBorder="1" applyAlignment="1">
      <alignment horizontal="center"/>
    </xf>
    <xf numFmtId="0" fontId="32" fillId="13" borderId="9" xfId="0" applyFont="1" applyFill="1" applyBorder="1" applyAlignment="1">
      <alignment horizontal="center"/>
    </xf>
    <xf numFmtId="0" fontId="32" fillId="13" borderId="1" xfId="0" applyFont="1" applyFill="1" applyBorder="1" applyAlignment="1">
      <alignment horizontal="center"/>
    </xf>
    <xf numFmtId="0" fontId="10" fillId="15" borderId="8" xfId="0" applyFont="1" applyFill="1" applyBorder="1" applyAlignment="1">
      <alignment horizontal="center"/>
    </xf>
    <xf numFmtId="15" fontId="10" fillId="15" borderId="8" xfId="0" applyNumberFormat="1" applyFont="1" applyFill="1" applyBorder="1" applyAlignment="1">
      <alignment horizontal="center"/>
    </xf>
    <xf numFmtId="6" fontId="10" fillId="15" borderId="8" xfId="0" applyNumberFormat="1" applyFont="1" applyFill="1" applyBorder="1" applyAlignment="1">
      <alignment horizontal="center"/>
    </xf>
    <xf numFmtId="0" fontId="10" fillId="15" borderId="9" xfId="0" applyFont="1" applyFill="1" applyBorder="1" applyAlignment="1">
      <alignment horizontal="center"/>
    </xf>
    <xf numFmtId="0" fontId="10" fillId="0" borderId="1" xfId="0" applyFont="1" applyBorder="1" applyAlignment="1">
      <alignment horizontal="center"/>
    </xf>
    <xf numFmtId="0" fontId="10" fillId="0" borderId="8" xfId="0" applyFont="1" applyBorder="1" applyAlignment="1">
      <alignment horizontal="center"/>
    </xf>
    <xf numFmtId="15" fontId="10" fillId="0" borderId="8" xfId="0" applyNumberFormat="1" applyFont="1" applyBorder="1" applyAlignment="1">
      <alignment horizontal="center"/>
    </xf>
    <xf numFmtId="6" fontId="10" fillId="0" borderId="8" xfId="0" applyNumberFormat="1" applyFont="1" applyBorder="1" applyAlignment="1">
      <alignment horizontal="center"/>
    </xf>
    <xf numFmtId="0" fontId="10" fillId="0" borderId="9" xfId="0" applyFont="1" applyBorder="1" applyAlignment="1">
      <alignment horizontal="center"/>
    </xf>
    <xf numFmtId="0" fontId="10" fillId="15" borderId="10" xfId="0" applyFont="1" applyFill="1" applyBorder="1" applyAlignment="1">
      <alignment horizontal="center"/>
    </xf>
    <xf numFmtId="15" fontId="10" fillId="15" borderId="10" xfId="0" applyNumberFormat="1" applyFont="1" applyFill="1" applyBorder="1" applyAlignment="1">
      <alignment horizontal="center"/>
    </xf>
    <xf numFmtId="6" fontId="10" fillId="15" borderId="10" xfId="0" applyNumberFormat="1" applyFont="1" applyFill="1" applyBorder="1" applyAlignment="1">
      <alignment horizontal="center"/>
    </xf>
    <xf numFmtId="0" fontId="10" fillId="15" borderId="11" xfId="0" applyFont="1" applyFill="1" applyBorder="1" applyAlignment="1">
      <alignment horizontal="center"/>
    </xf>
    <xf numFmtId="0" fontId="10" fillId="5" borderId="0" xfId="0" applyFont="1" applyFill="1"/>
    <xf numFmtId="3" fontId="10" fillId="5" borderId="0" xfId="0" applyNumberFormat="1" applyFont="1" applyFill="1" applyAlignment="1">
      <alignment horizontal="center"/>
    </xf>
    <xf numFmtId="0" fontId="10" fillId="5" borderId="0" xfId="0" applyFont="1" applyFill="1" applyAlignment="1">
      <alignment horizontal="center"/>
    </xf>
    <xf numFmtId="0" fontId="9" fillId="2" borderId="1" xfId="0" applyFont="1" applyFill="1" applyBorder="1" applyAlignment="1">
      <alignment horizontal="center"/>
    </xf>
    <xf numFmtId="0" fontId="26" fillId="4" borderId="1" xfId="0" applyFont="1" applyFill="1" applyBorder="1" applyAlignment="1">
      <alignment horizontal="center" vertical="center"/>
    </xf>
    <xf numFmtId="3" fontId="26" fillId="4" borderId="1" xfId="0" applyNumberFormat="1" applyFont="1" applyFill="1" applyBorder="1" applyAlignment="1">
      <alignment horizontal="center" vertical="center"/>
    </xf>
    <xf numFmtId="3" fontId="25" fillId="0" borderId="1" xfId="0" applyNumberFormat="1" applyFont="1" applyBorder="1" applyAlignment="1">
      <alignment horizontal="center"/>
    </xf>
    <xf numFmtId="3" fontId="0" fillId="0" borderId="0" xfId="0" applyNumberFormat="1"/>
    <xf numFmtId="0" fontId="0" fillId="4" borderId="1" xfId="0" applyFill="1" applyBorder="1" applyAlignment="1">
      <alignment horizontal="center"/>
    </xf>
    <xf numFmtId="0" fontId="5" fillId="2" borderId="1" xfId="0" applyFont="1" applyFill="1" applyBorder="1" applyAlignment="1">
      <alignment horizontal="center"/>
    </xf>
    <xf numFmtId="0" fontId="9" fillId="0" borderId="1" xfId="0" applyFont="1" applyBorder="1"/>
    <xf numFmtId="9" fontId="9" fillId="0" borderId="1" xfId="0" applyNumberFormat="1" applyFont="1" applyBorder="1" applyAlignment="1">
      <alignment horizontal="center"/>
    </xf>
    <xf numFmtId="0" fontId="9" fillId="0" borderId="1" xfId="0" applyFont="1" applyBorder="1" applyAlignment="1">
      <alignment horizontal="left"/>
    </xf>
    <xf numFmtId="3" fontId="9" fillId="0" borderId="0" xfId="0" applyNumberFormat="1" applyFont="1"/>
    <xf numFmtId="0" fontId="5" fillId="4" borderId="1" xfId="0" applyFont="1" applyFill="1" applyBorder="1"/>
    <xf numFmtId="3" fontId="5" fillId="4" borderId="1" xfId="0" applyNumberFormat="1" applyFont="1" applyFill="1" applyBorder="1"/>
    <xf numFmtId="164" fontId="9" fillId="0" borderId="1" xfId="3" applyNumberFormat="1" applyFont="1" applyBorder="1" applyAlignment="1">
      <alignment horizontal="center"/>
    </xf>
    <xf numFmtId="0" fontId="5" fillId="4" borderId="1" xfId="0" applyFont="1" applyFill="1" applyBorder="1" applyAlignment="1">
      <alignment horizontal="center"/>
    </xf>
    <xf numFmtId="0" fontId="9" fillId="7" borderId="0" xfId="0" applyFont="1" applyFill="1"/>
    <xf numFmtId="3" fontId="9" fillId="7" borderId="0" xfId="0" applyNumberFormat="1" applyFont="1" applyFill="1"/>
    <xf numFmtId="0" fontId="9" fillId="7" borderId="0" xfId="0" applyFont="1" applyFill="1" applyAlignment="1">
      <alignment horizontal="center"/>
    </xf>
    <xf numFmtId="0" fontId="9" fillId="2" borderId="0" xfId="0" applyFont="1" applyFill="1" applyAlignment="1">
      <alignment horizontal="center"/>
    </xf>
    <xf numFmtId="3" fontId="2" fillId="4" borderId="1" xfId="0" applyNumberFormat="1" applyFont="1" applyFill="1" applyBorder="1" applyAlignment="1">
      <alignment horizontal="center"/>
    </xf>
    <xf numFmtId="0" fontId="2" fillId="4" borderId="1" xfId="0" applyFont="1" applyFill="1" applyBorder="1" applyAlignment="1">
      <alignment horizontal="center"/>
    </xf>
    <xf numFmtId="0" fontId="0" fillId="0" borderId="1" xfId="0" applyBorder="1"/>
    <xf numFmtId="0" fontId="2" fillId="6" borderId="1" xfId="0" applyFont="1" applyFill="1" applyBorder="1"/>
    <xf numFmtId="3" fontId="2" fillId="6" borderId="1" xfId="0" applyNumberFormat="1" applyFont="1" applyFill="1" applyBorder="1" applyAlignment="1">
      <alignment horizontal="center"/>
    </xf>
    <xf numFmtId="3" fontId="35" fillId="0" borderId="1" xfId="0" applyNumberFormat="1" applyFont="1" applyBorder="1" applyAlignment="1">
      <alignment horizontal="center"/>
    </xf>
    <xf numFmtId="0" fontId="35" fillId="0" borderId="1" xfId="0" applyFont="1" applyBorder="1" applyAlignment="1">
      <alignment horizontal="center"/>
    </xf>
    <xf numFmtId="3" fontId="36" fillId="0" borderId="1" xfId="0" applyNumberFormat="1" applyFont="1" applyBorder="1" applyAlignment="1">
      <alignment horizontal="center"/>
    </xf>
    <xf numFmtId="0" fontId="36" fillId="0" borderId="1" xfId="0" applyFont="1" applyBorder="1" applyAlignment="1">
      <alignment horizontal="center"/>
    </xf>
    <xf numFmtId="3" fontId="37" fillId="0" borderId="1" xfId="0" applyNumberFormat="1" applyFont="1" applyBorder="1" applyAlignment="1">
      <alignment horizontal="center"/>
    </xf>
    <xf numFmtId="0" fontId="37" fillId="0" borderId="1" xfId="0" applyFont="1" applyBorder="1" applyAlignment="1">
      <alignment horizontal="center"/>
    </xf>
    <xf numFmtId="9" fontId="9" fillId="0" borderId="1" xfId="1" applyFont="1" applyBorder="1" applyAlignment="1">
      <alignment horizontal="center"/>
    </xf>
    <xf numFmtId="14" fontId="0" fillId="0" borderId="0" xfId="0" applyNumberFormat="1"/>
    <xf numFmtId="0" fontId="11" fillId="2" borderId="0" xfId="0" applyFont="1" applyFill="1" applyAlignment="1">
      <alignment horizontal="center" vertical="center" wrapText="1"/>
    </xf>
    <xf numFmtId="0" fontId="11" fillId="2" borderId="0" xfId="0" applyFont="1" applyFill="1" applyAlignment="1">
      <alignment horizontal="center" vertical="center"/>
    </xf>
    <xf numFmtId="0" fontId="15" fillId="4" borderId="0" xfId="0" applyFont="1" applyFill="1" applyAlignment="1">
      <alignment horizontal="center" vertical="center"/>
    </xf>
    <xf numFmtId="0" fontId="12" fillId="2"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8" fillId="2" borderId="4" xfId="2" applyFont="1" applyFill="1" applyBorder="1" applyAlignment="1">
      <alignment horizontal="center" vertical="center"/>
    </xf>
    <xf numFmtId="0" fontId="8" fillId="2" borderId="0" xfId="2" applyFont="1" applyFill="1" applyAlignment="1">
      <alignment horizontal="center" vertical="center"/>
    </xf>
    <xf numFmtId="0" fontId="11" fillId="6" borderId="0" xfId="0" applyFont="1" applyFill="1" applyAlignment="1">
      <alignment horizontal="center" wrapText="1"/>
    </xf>
    <xf numFmtId="0" fontId="11" fillId="6" borderId="0" xfId="0" applyFont="1" applyFill="1" applyAlignment="1">
      <alignment horizontal="center"/>
    </xf>
    <xf numFmtId="0" fontId="10" fillId="4" borderId="0" xfId="0" applyFont="1" applyFill="1" applyAlignment="1">
      <alignment horizontal="center" vertical="center" wrapText="1"/>
    </xf>
    <xf numFmtId="0" fontId="9" fillId="4" borderId="0" xfId="0" applyFont="1" applyFill="1" applyAlignment="1">
      <alignment horizontal="center" vertical="center" wrapText="1"/>
    </xf>
    <xf numFmtId="0" fontId="11" fillId="2" borderId="0" xfId="0" applyFont="1" applyFill="1" applyAlignment="1">
      <alignment horizontal="center"/>
    </xf>
    <xf numFmtId="0" fontId="9" fillId="2" borderId="1" xfId="0" applyFont="1" applyFill="1" applyBorder="1" applyAlignment="1">
      <alignment horizontal="center"/>
    </xf>
    <xf numFmtId="0" fontId="9" fillId="0" borderId="1" xfId="0" applyFont="1" applyBorder="1" applyAlignment="1">
      <alignment horizontal="center" vertical="center" wrapText="1"/>
    </xf>
    <xf numFmtId="0" fontId="17" fillId="4" borderId="0" xfId="0" applyFont="1" applyFill="1" applyAlignment="1">
      <alignment horizontal="center" vertical="center"/>
    </xf>
    <xf numFmtId="0" fontId="14" fillId="4" borderId="0" xfId="0" applyFont="1" applyFill="1" applyAlignment="1">
      <alignment horizontal="center" vertical="center"/>
    </xf>
    <xf numFmtId="0" fontId="11" fillId="2" borderId="1" xfId="0" applyFont="1" applyFill="1" applyBorder="1" applyAlignment="1">
      <alignment horizontal="center" vertical="center" wrapText="1"/>
    </xf>
    <xf numFmtId="0" fontId="11" fillId="0" borderId="0" xfId="0" applyFont="1" applyAlignment="1">
      <alignment horizontal="center" vertical="center" wrapText="1"/>
    </xf>
    <xf numFmtId="0" fontId="11" fillId="4" borderId="0" xfId="0" applyFont="1" applyFill="1" applyAlignment="1">
      <alignment horizontal="center"/>
    </xf>
    <xf numFmtId="0" fontId="22" fillId="2" borderId="0" xfId="0" applyFont="1" applyFill="1" applyAlignment="1">
      <alignment horizontal="center"/>
    </xf>
    <xf numFmtId="0" fontId="11" fillId="2" borderId="1" xfId="0" applyFont="1" applyFill="1" applyBorder="1" applyAlignment="1">
      <alignment horizontal="center" vertical="center"/>
    </xf>
    <xf numFmtId="0" fontId="7" fillId="4" borderId="1" xfId="0" applyFont="1" applyFill="1" applyBorder="1" applyAlignment="1">
      <alignment horizontal="center" vertical="center"/>
    </xf>
    <xf numFmtId="0" fontId="11" fillId="6" borderId="1" xfId="0" applyFont="1" applyFill="1" applyBorder="1" applyAlignment="1">
      <alignment horizontal="center" vertical="center" wrapText="1"/>
    </xf>
    <xf numFmtId="0" fontId="11" fillId="6" borderId="1" xfId="0" applyFont="1" applyFill="1" applyBorder="1" applyAlignment="1">
      <alignment horizontal="center" vertical="center"/>
    </xf>
    <xf numFmtId="0" fontId="8" fillId="2" borderId="1" xfId="2" applyFont="1" applyFill="1" applyBorder="1" applyAlignment="1">
      <alignment horizontal="center" vertical="center"/>
    </xf>
    <xf numFmtId="0" fontId="5" fillId="6" borderId="1" xfId="2" applyFont="1" applyFill="1" applyBorder="1" applyAlignment="1">
      <alignment horizontal="center" vertical="center" wrapText="1"/>
    </xf>
    <xf numFmtId="0" fontId="9" fillId="6" borderId="1" xfId="0" applyFont="1" applyFill="1" applyBorder="1" applyAlignment="1">
      <alignment horizontal="center" vertical="center" wrapText="1"/>
    </xf>
    <xf numFmtId="0" fontId="5" fillId="0" borderId="1" xfId="0" applyFont="1" applyBorder="1" applyAlignment="1">
      <alignment vertical="center" wrapText="1"/>
    </xf>
    <xf numFmtId="0" fontId="21" fillId="9" borderId="0" xfId="0" applyFont="1" applyFill="1" applyAlignment="1">
      <alignment horizontal="center" vertical="center"/>
    </xf>
    <xf numFmtId="0" fontId="4" fillId="2" borderId="0" xfId="0" applyFont="1" applyFill="1" applyAlignment="1">
      <alignment horizontal="center" vertical="center"/>
    </xf>
    <xf numFmtId="0" fontId="10" fillId="2" borderId="0" xfId="0" applyFont="1" applyFill="1" applyAlignment="1">
      <alignment horizontal="center" vertical="center" wrapText="1"/>
    </xf>
    <xf numFmtId="0" fontId="18" fillId="2" borderId="0" xfId="0" applyFont="1" applyFill="1" applyAlignment="1">
      <alignment horizontal="center" vertical="center"/>
    </xf>
    <xf numFmtId="0" fontId="9" fillId="4" borderId="0" xfId="0" applyFont="1" applyFill="1" applyAlignment="1">
      <alignment horizontal="center"/>
    </xf>
    <xf numFmtId="0" fontId="5" fillId="0" borderId="1" xfId="0" applyFont="1" applyBorder="1" applyAlignment="1">
      <alignment horizontal="left" vertical="center"/>
    </xf>
    <xf numFmtId="0" fontId="5" fillId="0" borderId="1" xfId="0" applyFont="1" applyBorder="1" applyAlignment="1">
      <alignment horizontal="center" vertical="center" wrapText="1"/>
    </xf>
    <xf numFmtId="0" fontId="23" fillId="0" borderId="0" xfId="0" applyFont="1" applyAlignment="1">
      <alignment horizontal="center" vertical="center" wrapText="1"/>
    </xf>
    <xf numFmtId="0" fontId="4" fillId="3" borderId="2" xfId="0" applyFont="1" applyFill="1" applyBorder="1" applyAlignment="1">
      <alignment horizontal="center"/>
    </xf>
    <xf numFmtId="0" fontId="4" fillId="3" borderId="3" xfId="0" applyFont="1" applyFill="1" applyBorder="1" applyAlignment="1">
      <alignment horizontal="center"/>
    </xf>
    <xf numFmtId="0" fontId="40" fillId="0" borderId="0" xfId="0" applyFont="1" applyAlignment="1">
      <alignment horizontal="center"/>
    </xf>
    <xf numFmtId="0" fontId="10" fillId="0" borderId="0" xfId="0" applyFont="1" applyAlignment="1">
      <alignment horizontal="center" vertical="center"/>
    </xf>
    <xf numFmtId="167" fontId="10" fillId="0" borderId="1" xfId="0" applyNumberFormat="1" applyFont="1" applyBorder="1" applyAlignment="1">
      <alignment horizontal="center" vertical="center"/>
    </xf>
    <xf numFmtId="0" fontId="10" fillId="0" borderId="1" xfId="0" applyFont="1" applyBorder="1" applyAlignment="1">
      <alignment horizontal="center" vertical="center"/>
    </xf>
  </cellXfs>
  <cellStyles count="4">
    <cellStyle name="Currency" xfId="3" builtinId="4"/>
    <cellStyle name="Normal" xfId="0" builtinId="0"/>
    <cellStyle name="Normal 2" xfId="2" xr:uid="{7AC1B754-285B-42FE-A438-0EBD365BBD6C}"/>
    <cellStyle name="Percent" xfId="1" builtinId="5"/>
  </cellStyles>
  <dxfs count="0"/>
  <tableStyles count="0" defaultTableStyle="TableStyleMedium2" defaultPivotStyle="PivotStyleLight16"/>
  <colors>
    <mruColors>
      <color rgb="FFA3CF0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13</xdr:col>
      <xdr:colOff>171450</xdr:colOff>
      <xdr:row>4</xdr:row>
      <xdr:rowOff>19050</xdr:rowOff>
    </xdr:from>
    <xdr:to>
      <xdr:col>18</xdr:col>
      <xdr:colOff>571500</xdr:colOff>
      <xdr:row>13</xdr:row>
      <xdr:rowOff>504217</xdr:rowOff>
    </xdr:to>
    <xdr:pic>
      <xdr:nvPicPr>
        <xdr:cNvPr id="2" name="Picture 1" descr="Basic IF formula in Excel.">
          <a:extLst>
            <a:ext uri="{FF2B5EF4-FFF2-40B4-BE49-F238E27FC236}">
              <a16:creationId xmlns:a16="http://schemas.microsoft.com/office/drawing/2014/main" id="{FAB37A4A-20E5-A93A-E3D4-0E9A9EA5C3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0325" y="1304925"/>
          <a:ext cx="3448050" cy="21996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190499</xdr:rowOff>
    </xdr:from>
    <xdr:to>
      <xdr:col>1</xdr:col>
      <xdr:colOff>1095375</xdr:colOff>
      <xdr:row>29</xdr:row>
      <xdr:rowOff>66674</xdr:rowOff>
    </xdr:to>
    <xdr:pic>
      <xdr:nvPicPr>
        <xdr:cNvPr id="3" name="Picture 2" descr="تحتوي الخلية D2 على الصيغة ‎=IF(C2=»Yes»,1,2)‎">
          <a:extLst>
            <a:ext uri="{FF2B5EF4-FFF2-40B4-BE49-F238E27FC236}">
              <a16:creationId xmlns:a16="http://schemas.microsoft.com/office/drawing/2014/main" id="{D064F4C6-C17F-1581-0CA7-D9977DA5BE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09874"/>
          <a:ext cx="2457450" cy="1400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57150</xdr:rowOff>
    </xdr:from>
    <xdr:to>
      <xdr:col>4</xdr:col>
      <xdr:colOff>266700</xdr:colOff>
      <xdr:row>49</xdr:row>
      <xdr:rowOff>161925</xdr:rowOff>
    </xdr:to>
    <xdr:pic>
      <xdr:nvPicPr>
        <xdr:cNvPr id="5" name="Picture 4" descr="الصيغة في الخلية D2 هي ‎=IF(C2&gt;B2,”Over Budget”,”Within Budget”)‎">
          <a:extLst>
            <a:ext uri="{FF2B5EF4-FFF2-40B4-BE49-F238E27FC236}">
              <a16:creationId xmlns:a16="http://schemas.microsoft.com/office/drawing/2014/main" id="{58827196-8C2E-FC0D-CFB7-0FD4110B3E7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5962650"/>
          <a:ext cx="4829175" cy="1819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70</xdr:row>
      <xdr:rowOff>133350</xdr:rowOff>
    </xdr:from>
    <xdr:to>
      <xdr:col>15</xdr:col>
      <xdr:colOff>504825</xdr:colOff>
      <xdr:row>83</xdr:row>
      <xdr:rowOff>125822</xdr:rowOff>
    </xdr:to>
    <xdr:pic>
      <xdr:nvPicPr>
        <xdr:cNvPr id="8" name="Picture 7">
          <a:extLst>
            <a:ext uri="{FF2B5EF4-FFF2-40B4-BE49-F238E27FC236}">
              <a16:creationId xmlns:a16="http://schemas.microsoft.com/office/drawing/2014/main" id="{D0374758-DADA-B976-7CB1-C89677B6626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17554575"/>
          <a:ext cx="11772900" cy="2468972"/>
        </a:xfrm>
        <a:prstGeom prst="rect">
          <a:avLst/>
        </a:prstGeom>
      </xdr:spPr>
    </xdr:pic>
    <xdr:clientData/>
  </xdr:twoCellAnchor>
  <xdr:twoCellAnchor editAs="oneCell">
    <xdr:from>
      <xdr:col>13</xdr:col>
      <xdr:colOff>161925</xdr:colOff>
      <xdr:row>14</xdr:row>
      <xdr:rowOff>0</xdr:rowOff>
    </xdr:from>
    <xdr:to>
      <xdr:col>19</xdr:col>
      <xdr:colOff>523875</xdr:colOff>
      <xdr:row>20</xdr:row>
      <xdr:rowOff>57150</xdr:rowOff>
    </xdr:to>
    <xdr:pic>
      <xdr:nvPicPr>
        <xdr:cNvPr id="9" name="Picture 8" descr="if function syntax">
          <a:extLst>
            <a:ext uri="{FF2B5EF4-FFF2-40B4-BE49-F238E27FC236}">
              <a16:creationId xmlns:a16="http://schemas.microsoft.com/office/drawing/2014/main" id="{F767B73F-9CCB-81D7-AC47-0AFB8F4C4E4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210800" y="3590925"/>
          <a:ext cx="4019550" cy="140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31749</xdr:colOff>
      <xdr:row>0</xdr:row>
      <xdr:rowOff>0</xdr:rowOff>
    </xdr:from>
    <xdr:to>
      <xdr:col>20</xdr:col>
      <xdr:colOff>71959</xdr:colOff>
      <xdr:row>4</xdr:row>
      <xdr:rowOff>941916</xdr:rowOff>
    </xdr:to>
    <xdr:pic>
      <xdr:nvPicPr>
        <xdr:cNvPr id="2" name="Picture 1" descr="Create Line, Column, Win-Loss Sparklines in Excel | Overview | Examples">
          <a:extLst>
            <a:ext uri="{FF2B5EF4-FFF2-40B4-BE49-F238E27FC236}">
              <a16:creationId xmlns:a16="http://schemas.microsoft.com/office/drawing/2014/main" id="{B484D398-BA2B-4789-B120-8D1587DF16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88499" y="0"/>
          <a:ext cx="6178543" cy="3439583"/>
        </a:xfrm>
        <a:prstGeom prst="rect">
          <a:avLst/>
        </a:prstGeom>
        <a:noFill/>
        <a:ln w="6350">
          <a:solidFill>
            <a:schemeClr val="tx1"/>
          </a:solidFill>
        </a:ln>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EE194EB-4AC1-4417-9340-32952A44A708}">
  <we:reference id="wa200005271" version="2.5.5.0" store="en-US" storeType="OMEX"/>
  <we:alternateReferences>
    <we:reference id="wa200005271" version="2.5.5.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AD6E7-637E-4FA3-A93C-71CF03C32C46}">
  <dimension ref="A1"/>
  <sheetViews>
    <sheetView topLeftCell="A13" workbookViewId="0">
      <selection activeCell="F8" sqref="F8:K18"/>
    </sheetView>
  </sheetViews>
  <sheetFormatPr defaultRowHeight="14.4"/>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523E9-A8C8-4495-926D-F3CFBEBBE377}">
  <dimension ref="A1:M70"/>
  <sheetViews>
    <sheetView showGridLines="0" topLeftCell="A18" workbookViewId="0">
      <selection sqref="A1:F1"/>
    </sheetView>
  </sheetViews>
  <sheetFormatPr defaultRowHeight="14.4"/>
  <cols>
    <col min="1" max="1" width="20.44140625" bestFit="1" customWidth="1"/>
    <col min="2" max="3" width="19.44140625" bestFit="1" customWidth="1"/>
  </cols>
  <sheetData>
    <row r="1" spans="1:13" ht="23.4">
      <c r="A1" s="122" t="s">
        <v>104</v>
      </c>
      <c r="B1" s="122"/>
      <c r="C1" s="122"/>
      <c r="D1" s="122"/>
      <c r="E1" s="122"/>
      <c r="F1" s="122"/>
    </row>
    <row r="3" spans="1:13" ht="48" customHeight="1">
      <c r="A3" s="120" t="s">
        <v>105</v>
      </c>
      <c r="B3" s="120"/>
      <c r="C3" s="120"/>
      <c r="D3" s="120"/>
      <c r="E3" s="120"/>
      <c r="F3" s="120"/>
    </row>
    <row r="5" spans="1:13">
      <c r="A5" s="121" t="s">
        <v>106</v>
      </c>
      <c r="B5" s="121"/>
      <c r="C5" s="121"/>
      <c r="D5" s="121"/>
      <c r="E5" s="121"/>
      <c r="F5" s="121"/>
    </row>
    <row r="6" spans="1:13">
      <c r="A6" s="121"/>
      <c r="B6" s="121"/>
      <c r="C6" s="121"/>
      <c r="D6" s="121"/>
      <c r="E6" s="121"/>
      <c r="F6" s="121"/>
    </row>
    <row r="7" spans="1:13">
      <c r="A7" s="121"/>
      <c r="B7" s="121"/>
      <c r="C7" s="121"/>
      <c r="D7" s="121"/>
      <c r="E7" s="121"/>
      <c r="F7" s="121"/>
    </row>
    <row r="9" spans="1:13">
      <c r="A9" s="7"/>
      <c r="B9" s="7"/>
      <c r="C9" s="7"/>
      <c r="D9" s="7"/>
      <c r="E9" s="7"/>
      <c r="F9" s="7"/>
      <c r="G9" s="7"/>
      <c r="H9" s="7"/>
      <c r="I9" s="7"/>
    </row>
    <row r="11" spans="1:13" ht="15" customHeight="1">
      <c r="A11" s="116" t="s">
        <v>97</v>
      </c>
      <c r="B11" s="117"/>
      <c r="C11" s="117"/>
      <c r="D11" s="4"/>
      <c r="E11" s="4"/>
      <c r="F11" s="4"/>
      <c r="G11" s="4"/>
    </row>
    <row r="12" spans="1:13" ht="15" customHeight="1">
      <c r="A12" s="116"/>
      <c r="B12" s="117"/>
      <c r="C12" s="117"/>
      <c r="D12" s="4"/>
      <c r="E12" s="4"/>
      <c r="F12" s="4"/>
      <c r="G12" s="4"/>
    </row>
    <row r="13" spans="1:13" ht="15" customHeight="1">
      <c r="A13" s="116"/>
      <c r="B13" s="117"/>
      <c r="C13" s="117"/>
      <c r="D13" s="4"/>
      <c r="E13" s="4"/>
      <c r="F13" s="4"/>
      <c r="G13" s="4"/>
    </row>
    <row r="14" spans="1:13" ht="46.5" customHeight="1">
      <c r="A14" s="2" t="s">
        <v>98</v>
      </c>
      <c r="C14" s="1" t="s">
        <v>99</v>
      </c>
      <c r="D14" s="118" t="s">
        <v>111</v>
      </c>
      <c r="E14" s="118"/>
      <c r="F14" s="118"/>
      <c r="G14" s="118"/>
      <c r="H14" s="118"/>
      <c r="I14" s="118"/>
      <c r="J14" s="118"/>
      <c r="K14" s="118"/>
      <c r="L14" s="118"/>
      <c r="M14" s="118"/>
    </row>
    <row r="15" spans="1:13" ht="15" customHeight="1">
      <c r="A15" s="1"/>
      <c r="C15" s="1"/>
      <c r="D15" s="6"/>
      <c r="E15" s="6"/>
      <c r="F15" s="6"/>
      <c r="G15" s="6"/>
      <c r="H15" s="6"/>
      <c r="I15" s="6"/>
      <c r="J15" s="6"/>
      <c r="K15" s="6"/>
      <c r="L15" s="6"/>
      <c r="M15" s="6"/>
    </row>
    <row r="16" spans="1:13" ht="23.4">
      <c r="A16" s="1" t="s">
        <v>100</v>
      </c>
      <c r="C16" s="1" t="s">
        <v>101</v>
      </c>
      <c r="D16" s="119" t="s">
        <v>112</v>
      </c>
      <c r="E16" s="119"/>
      <c r="F16" s="119"/>
      <c r="G16" s="119"/>
      <c r="H16" s="119"/>
      <c r="I16" s="119"/>
      <c r="J16" s="119"/>
      <c r="K16" s="119"/>
      <c r="L16" s="119"/>
      <c r="M16" s="119"/>
    </row>
    <row r="17" spans="1:13" ht="15" customHeight="1">
      <c r="A17" s="1"/>
      <c r="C17" s="1"/>
      <c r="D17" s="6"/>
      <c r="E17" s="6"/>
      <c r="F17" s="6"/>
      <c r="G17" s="6"/>
      <c r="H17" s="6"/>
      <c r="I17" s="6"/>
      <c r="J17" s="6"/>
      <c r="K17" s="6"/>
      <c r="L17" s="6"/>
      <c r="M17" s="6"/>
    </row>
    <row r="18" spans="1:13" ht="23.4">
      <c r="A18" s="1" t="s">
        <v>102</v>
      </c>
      <c r="C18" s="1" t="s">
        <v>103</v>
      </c>
      <c r="D18" s="119" t="s">
        <v>113</v>
      </c>
      <c r="E18" s="119"/>
      <c r="F18" s="119"/>
      <c r="G18" s="119"/>
      <c r="H18" s="119"/>
      <c r="I18" s="119"/>
      <c r="J18" s="119"/>
      <c r="K18" s="119"/>
      <c r="L18" s="119"/>
      <c r="M18" s="119"/>
    </row>
    <row r="21" spans="1:13">
      <c r="A21" s="5"/>
      <c r="B21" s="5"/>
      <c r="C21" s="5"/>
      <c r="D21" s="5"/>
      <c r="E21" s="5"/>
      <c r="F21" s="5"/>
      <c r="G21" s="5"/>
      <c r="H21" s="5"/>
      <c r="I21" s="5"/>
    </row>
    <row r="31" spans="1:13" ht="18">
      <c r="A31" s="123" t="s">
        <v>107</v>
      </c>
      <c r="B31" s="123"/>
      <c r="C31" s="123"/>
      <c r="D31" s="123"/>
    </row>
    <row r="33" spans="1:9" ht="15" customHeight="1">
      <c r="A33" s="124" t="s">
        <v>108</v>
      </c>
      <c r="B33" s="124"/>
      <c r="C33" s="124"/>
      <c r="D33" s="124"/>
    </row>
    <row r="34" spans="1:9" ht="15" customHeight="1">
      <c r="A34" s="124"/>
      <c r="B34" s="124"/>
      <c r="C34" s="124"/>
      <c r="D34" s="124"/>
    </row>
    <row r="35" spans="1:9" ht="15" customHeight="1">
      <c r="A35" s="124"/>
      <c r="B35" s="124"/>
      <c r="C35" s="124"/>
      <c r="D35" s="124"/>
    </row>
    <row r="36" spans="1:9">
      <c r="A36" s="124"/>
      <c r="B36" s="124"/>
      <c r="C36" s="124"/>
      <c r="D36" s="124"/>
    </row>
    <row r="37" spans="1:9">
      <c r="A37" s="124"/>
      <c r="B37" s="124"/>
      <c r="C37" s="124"/>
      <c r="D37" s="124"/>
    </row>
    <row r="39" spans="1:9">
      <c r="A39" s="5"/>
      <c r="B39" s="5"/>
      <c r="C39" s="5"/>
      <c r="D39" s="5"/>
      <c r="E39" s="5"/>
      <c r="F39" s="5"/>
      <c r="G39" s="5"/>
      <c r="H39" s="5"/>
      <c r="I39" s="5"/>
    </row>
    <row r="52" spans="1:9" ht="33.75" customHeight="1">
      <c r="A52" s="114" t="s">
        <v>109</v>
      </c>
      <c r="B52" s="114"/>
      <c r="C52" s="114"/>
      <c r="D52" s="114"/>
      <c r="E52" s="114"/>
      <c r="F52" s="114"/>
      <c r="G52" s="114"/>
      <c r="H52" s="114"/>
    </row>
    <row r="54" spans="1:9">
      <c r="A54" s="115" t="s">
        <v>110</v>
      </c>
      <c r="B54" s="115"/>
      <c r="C54" s="115"/>
      <c r="D54" s="115"/>
      <c r="E54" s="115"/>
      <c r="F54" s="115"/>
      <c r="G54" s="115"/>
      <c r="H54" s="115"/>
    </row>
    <row r="55" spans="1:9">
      <c r="A55" s="115"/>
      <c r="B55" s="115"/>
      <c r="C55" s="115"/>
      <c r="D55" s="115"/>
      <c r="E55" s="115"/>
      <c r="F55" s="115"/>
      <c r="G55" s="115"/>
      <c r="H55" s="115"/>
    </row>
    <row r="56" spans="1:9">
      <c r="A56" s="115"/>
      <c r="B56" s="115"/>
      <c r="C56" s="115"/>
      <c r="D56" s="115"/>
      <c r="E56" s="115"/>
      <c r="F56" s="115"/>
      <c r="G56" s="115"/>
      <c r="H56" s="115"/>
    </row>
    <row r="57" spans="1:9">
      <c r="A57" s="115"/>
      <c r="B57" s="115"/>
      <c r="C57" s="115"/>
      <c r="D57" s="115"/>
      <c r="E57" s="115"/>
      <c r="F57" s="115"/>
      <c r="G57" s="115"/>
      <c r="H57" s="115"/>
    </row>
    <row r="58" spans="1:9">
      <c r="A58" s="115"/>
      <c r="B58" s="115"/>
      <c r="C58" s="115"/>
      <c r="D58" s="115"/>
      <c r="E58" s="115"/>
      <c r="F58" s="115"/>
      <c r="G58" s="115"/>
      <c r="H58" s="115"/>
    </row>
    <row r="61" spans="1:9">
      <c r="A61" s="7"/>
      <c r="B61" s="7"/>
      <c r="C61" s="7"/>
      <c r="D61" s="7"/>
      <c r="E61" s="7"/>
      <c r="F61" s="7"/>
      <c r="G61" s="7"/>
      <c r="H61" s="7"/>
      <c r="I61" s="7"/>
    </row>
    <row r="63" spans="1:9">
      <c r="A63" s="113" t="s">
        <v>116</v>
      </c>
      <c r="B63" s="113"/>
      <c r="C63" s="113"/>
      <c r="D63" s="113"/>
      <c r="E63" s="113"/>
      <c r="F63" s="113"/>
      <c r="G63" s="113"/>
      <c r="H63" s="113"/>
      <c r="I63" s="113"/>
    </row>
    <row r="64" spans="1:9">
      <c r="A64" s="113"/>
      <c r="B64" s="113"/>
      <c r="C64" s="113"/>
      <c r="D64" s="113"/>
      <c r="E64" s="113"/>
      <c r="F64" s="113"/>
      <c r="G64" s="113"/>
      <c r="H64" s="113"/>
      <c r="I64" s="113"/>
    </row>
    <row r="65" spans="1:9">
      <c r="A65" s="113"/>
      <c r="B65" s="113"/>
      <c r="C65" s="113"/>
      <c r="D65" s="113"/>
      <c r="E65" s="113"/>
      <c r="F65" s="113"/>
      <c r="G65" s="113"/>
      <c r="H65" s="113"/>
      <c r="I65" s="113"/>
    </row>
    <row r="67" spans="1:9">
      <c r="A67" s="111" t="s">
        <v>115</v>
      </c>
      <c r="B67" s="112"/>
      <c r="C67" s="112"/>
      <c r="D67" s="112"/>
      <c r="E67" s="112"/>
      <c r="F67" s="112"/>
      <c r="G67" s="112"/>
      <c r="H67" s="112"/>
      <c r="I67" s="112"/>
    </row>
    <row r="68" spans="1:9">
      <c r="A68" s="112"/>
      <c r="B68" s="112"/>
      <c r="C68" s="112"/>
      <c r="D68" s="112"/>
      <c r="E68" s="112"/>
      <c r="F68" s="112"/>
      <c r="G68" s="112"/>
      <c r="H68" s="112"/>
      <c r="I68" s="112"/>
    </row>
    <row r="69" spans="1:9">
      <c r="A69" s="112"/>
      <c r="B69" s="112"/>
      <c r="C69" s="112"/>
      <c r="D69" s="112"/>
      <c r="E69" s="112"/>
      <c r="F69" s="112"/>
      <c r="G69" s="112"/>
      <c r="H69" s="112"/>
      <c r="I69" s="112"/>
    </row>
    <row r="70" spans="1:9">
      <c r="A70" s="112"/>
      <c r="B70" s="112"/>
      <c r="C70" s="112"/>
      <c r="D70" s="112"/>
      <c r="E70" s="112"/>
      <c r="F70" s="112"/>
      <c r="G70" s="112"/>
      <c r="H70" s="112"/>
      <c r="I70" s="112"/>
    </row>
  </sheetData>
  <mergeCells count="13">
    <mergeCell ref="A3:F3"/>
    <mergeCell ref="A5:F7"/>
    <mergeCell ref="A1:F1"/>
    <mergeCell ref="A31:D31"/>
    <mergeCell ref="A33:D37"/>
    <mergeCell ref="A67:I70"/>
    <mergeCell ref="A63:I65"/>
    <mergeCell ref="A52:H52"/>
    <mergeCell ref="A54:H58"/>
    <mergeCell ref="A11:C13"/>
    <mergeCell ref="D14:M14"/>
    <mergeCell ref="D16:M16"/>
    <mergeCell ref="D18:M1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07C81-619E-403F-AFAE-4B6E2B4A70A3}">
  <dimension ref="A1:K111"/>
  <sheetViews>
    <sheetView topLeftCell="A63" zoomScale="90" zoomScaleNormal="90" workbookViewId="0">
      <selection activeCell="D72" sqref="D72"/>
    </sheetView>
  </sheetViews>
  <sheetFormatPr defaultColWidth="9.109375" defaultRowHeight="23.4"/>
  <cols>
    <col min="1" max="1" width="24.88671875" style="10" bestFit="1" customWidth="1"/>
    <col min="2" max="2" width="18.6640625" style="10" bestFit="1" customWidth="1"/>
    <col min="3" max="3" width="28.6640625" style="10" bestFit="1" customWidth="1"/>
    <col min="4" max="4" width="20.5546875" style="10" bestFit="1" customWidth="1"/>
    <col min="5" max="5" width="24.109375" style="10" customWidth="1"/>
    <col min="6" max="6" width="11.88671875" style="10" bestFit="1" customWidth="1"/>
    <col min="7" max="7" width="18.33203125" style="10" bestFit="1" customWidth="1"/>
    <col min="8" max="8" width="24.6640625" style="10" bestFit="1" customWidth="1"/>
    <col min="9" max="9" width="9.109375" style="10"/>
    <col min="10" max="10" width="11.88671875" style="10" bestFit="1" customWidth="1"/>
    <col min="11" max="11" width="48.5546875" style="10" bestFit="1" customWidth="1"/>
    <col min="12" max="16384" width="9.109375" style="10"/>
  </cols>
  <sheetData>
    <row r="1" spans="1:11">
      <c r="A1" s="8" t="s">
        <v>117</v>
      </c>
      <c r="B1" s="8" t="s">
        <v>118</v>
      </c>
      <c r="C1" s="8" t="s">
        <v>119</v>
      </c>
      <c r="E1" s="8" t="s">
        <v>120</v>
      </c>
    </row>
    <row r="2" spans="1:11">
      <c r="A2" s="11" t="s">
        <v>121</v>
      </c>
      <c r="B2" s="11">
        <v>100000</v>
      </c>
      <c r="C2" s="12" t="str">
        <f>IF(B2&gt;=$E$2,"achieved","not")</f>
        <v>not</v>
      </c>
      <c r="E2" s="11">
        <v>300000</v>
      </c>
    </row>
    <row r="3" spans="1:11">
      <c r="A3" s="11" t="s">
        <v>122</v>
      </c>
      <c r="B3" s="11">
        <v>150000</v>
      </c>
      <c r="C3" s="12" t="str">
        <f t="shared" ref="C3:C5" si="0">IF(B3&gt;=$E$2,"achieved","not")</f>
        <v>not</v>
      </c>
    </row>
    <row r="4" spans="1:11" ht="24.75" customHeight="1">
      <c r="A4" s="11" t="s">
        <v>123</v>
      </c>
      <c r="B4" s="11">
        <v>300000</v>
      </c>
      <c r="C4" s="12" t="str">
        <f t="shared" si="0"/>
        <v>achieved</v>
      </c>
      <c r="J4" s="125" t="s">
        <v>125</v>
      </c>
      <c r="K4" s="111" t="s">
        <v>126</v>
      </c>
    </row>
    <row r="5" spans="1:11">
      <c r="A5" s="11" t="s">
        <v>124</v>
      </c>
      <c r="B5" s="11">
        <v>350000</v>
      </c>
      <c r="C5" s="12" t="str">
        <f t="shared" si="0"/>
        <v>achieved</v>
      </c>
      <c r="J5" s="126"/>
      <c r="K5" s="111"/>
    </row>
    <row r="6" spans="1:11">
      <c r="J6" s="126"/>
      <c r="K6" s="111"/>
    </row>
    <row r="7" spans="1:11">
      <c r="J7" s="126"/>
      <c r="K7" s="111"/>
    </row>
    <row r="11" spans="1:11">
      <c r="A11" s="13"/>
      <c r="B11" s="13"/>
      <c r="C11" s="13"/>
      <c r="D11" s="13"/>
      <c r="E11" s="13"/>
      <c r="F11" s="13"/>
      <c r="G11" s="13"/>
      <c r="H11" s="13"/>
      <c r="I11" s="13"/>
      <c r="J11" s="13"/>
      <c r="K11" s="13"/>
    </row>
    <row r="13" spans="1:11">
      <c r="A13" s="15" t="s">
        <v>92</v>
      </c>
      <c r="B13" s="16" t="s">
        <v>127</v>
      </c>
      <c r="C13" s="16" t="s">
        <v>128</v>
      </c>
      <c r="D13" s="15" t="s">
        <v>129</v>
      </c>
      <c r="E13" s="15" t="s">
        <v>93</v>
      </c>
    </row>
    <row r="14" spans="1:11">
      <c r="A14" s="11" t="s">
        <v>130</v>
      </c>
      <c r="B14" s="11">
        <v>39</v>
      </c>
      <c r="C14" s="11">
        <v>32</v>
      </c>
      <c r="D14" s="11">
        <f>B14+C14</f>
        <v>71</v>
      </c>
      <c r="E14" s="11" t="str">
        <f>IF(D14&gt;=60,"successed","failed")</f>
        <v>successed</v>
      </c>
      <c r="K14" s="127" t="s">
        <v>147</v>
      </c>
    </row>
    <row r="15" spans="1:11">
      <c r="A15" s="11" t="s">
        <v>131</v>
      </c>
      <c r="B15" s="11">
        <v>23</v>
      </c>
      <c r="C15" s="11">
        <v>48</v>
      </c>
      <c r="D15" s="11">
        <f t="shared" ref="D15:D30" si="1">B15+C15</f>
        <v>71</v>
      </c>
      <c r="E15" s="11" t="str">
        <f t="shared" ref="E15:E30" si="2">IF(D15&gt;=60,"successed","failed")</f>
        <v>successed</v>
      </c>
      <c r="K15" s="127"/>
    </row>
    <row r="16" spans="1:11">
      <c r="A16" s="11" t="s">
        <v>132</v>
      </c>
      <c r="B16" s="11">
        <v>30</v>
      </c>
      <c r="C16" s="11">
        <v>38</v>
      </c>
      <c r="D16" s="11">
        <f t="shared" si="1"/>
        <v>68</v>
      </c>
      <c r="E16" s="11" t="str">
        <f t="shared" si="2"/>
        <v>successed</v>
      </c>
      <c r="K16" s="127"/>
    </row>
    <row r="17" spans="1:11">
      <c r="A17" s="11" t="s">
        <v>133</v>
      </c>
      <c r="B17" s="11">
        <v>13</v>
      </c>
      <c r="C17" s="11">
        <v>56</v>
      </c>
      <c r="D17" s="11">
        <f t="shared" si="1"/>
        <v>69</v>
      </c>
      <c r="E17" s="11" t="str">
        <f t="shared" si="2"/>
        <v>successed</v>
      </c>
      <c r="K17" s="127"/>
    </row>
    <row r="18" spans="1:11">
      <c r="A18" s="11" t="s">
        <v>134</v>
      </c>
      <c r="B18" s="11">
        <v>26</v>
      </c>
      <c r="C18" s="11">
        <v>49</v>
      </c>
      <c r="D18" s="11">
        <f t="shared" si="1"/>
        <v>75</v>
      </c>
      <c r="E18" s="11" t="str">
        <f t="shared" si="2"/>
        <v>successed</v>
      </c>
    </row>
    <row r="19" spans="1:11">
      <c r="A19" s="11" t="s">
        <v>135</v>
      </c>
      <c r="B19" s="11">
        <v>17</v>
      </c>
      <c r="C19" s="11">
        <v>17</v>
      </c>
      <c r="D19" s="11">
        <f t="shared" si="1"/>
        <v>34</v>
      </c>
      <c r="E19" s="11" t="str">
        <f t="shared" si="2"/>
        <v>failed</v>
      </c>
    </row>
    <row r="20" spans="1:11">
      <c r="A20" s="11" t="s">
        <v>136</v>
      </c>
      <c r="B20" s="11">
        <v>23</v>
      </c>
      <c r="C20" s="11">
        <v>17</v>
      </c>
      <c r="D20" s="11">
        <f t="shared" si="1"/>
        <v>40</v>
      </c>
      <c r="E20" s="11" t="str">
        <f t="shared" si="2"/>
        <v>failed</v>
      </c>
    </row>
    <row r="21" spans="1:11">
      <c r="A21" s="11" t="s">
        <v>137</v>
      </c>
      <c r="B21" s="11">
        <v>21</v>
      </c>
      <c r="C21" s="11">
        <v>35</v>
      </c>
      <c r="D21" s="11">
        <f t="shared" si="1"/>
        <v>56</v>
      </c>
      <c r="E21" s="11" t="str">
        <f t="shared" si="2"/>
        <v>failed</v>
      </c>
    </row>
    <row r="22" spans="1:11">
      <c r="A22" s="11" t="s">
        <v>138</v>
      </c>
      <c r="B22" s="11">
        <v>10</v>
      </c>
      <c r="C22" s="11">
        <v>19</v>
      </c>
      <c r="D22" s="11">
        <f t="shared" si="1"/>
        <v>29</v>
      </c>
      <c r="E22" s="11" t="str">
        <f t="shared" si="2"/>
        <v>failed</v>
      </c>
    </row>
    <row r="23" spans="1:11">
      <c r="A23" s="11" t="s">
        <v>139</v>
      </c>
      <c r="B23" s="11">
        <v>37</v>
      </c>
      <c r="C23" s="11">
        <v>28</v>
      </c>
      <c r="D23" s="11">
        <f t="shared" si="1"/>
        <v>65</v>
      </c>
      <c r="E23" s="11" t="str">
        <f t="shared" si="2"/>
        <v>successed</v>
      </c>
    </row>
    <row r="24" spans="1:11">
      <c r="A24" s="11" t="s">
        <v>140</v>
      </c>
      <c r="B24" s="11">
        <v>36</v>
      </c>
      <c r="C24" s="11">
        <v>49</v>
      </c>
      <c r="D24" s="11">
        <f t="shared" si="1"/>
        <v>85</v>
      </c>
      <c r="E24" s="11" t="str">
        <f t="shared" si="2"/>
        <v>successed</v>
      </c>
    </row>
    <row r="25" spans="1:11">
      <c r="A25" s="11" t="s">
        <v>141</v>
      </c>
      <c r="B25" s="11">
        <v>21</v>
      </c>
      <c r="C25" s="11">
        <v>15</v>
      </c>
      <c r="D25" s="11">
        <f t="shared" si="1"/>
        <v>36</v>
      </c>
      <c r="E25" s="11" t="str">
        <f t="shared" si="2"/>
        <v>failed</v>
      </c>
    </row>
    <row r="26" spans="1:11">
      <c r="A26" s="11" t="s">
        <v>142</v>
      </c>
      <c r="B26" s="11">
        <v>18</v>
      </c>
      <c r="C26" s="11">
        <v>29</v>
      </c>
      <c r="D26" s="11">
        <f t="shared" si="1"/>
        <v>47</v>
      </c>
      <c r="E26" s="11" t="str">
        <f t="shared" si="2"/>
        <v>failed</v>
      </c>
    </row>
    <row r="27" spans="1:11">
      <c r="A27" s="11" t="s">
        <v>143</v>
      </c>
      <c r="B27" s="11">
        <v>30</v>
      </c>
      <c r="C27" s="11">
        <v>36</v>
      </c>
      <c r="D27" s="11">
        <f t="shared" si="1"/>
        <v>66</v>
      </c>
      <c r="E27" s="11" t="str">
        <f t="shared" si="2"/>
        <v>successed</v>
      </c>
    </row>
    <row r="28" spans="1:11">
      <c r="A28" s="11" t="s">
        <v>144</v>
      </c>
      <c r="B28" s="11">
        <v>11</v>
      </c>
      <c r="C28" s="11">
        <v>18</v>
      </c>
      <c r="D28" s="11">
        <f t="shared" si="1"/>
        <v>29</v>
      </c>
      <c r="E28" s="11" t="str">
        <f t="shared" si="2"/>
        <v>failed</v>
      </c>
    </row>
    <row r="29" spans="1:11">
      <c r="A29" s="11" t="s">
        <v>145</v>
      </c>
      <c r="B29" s="11">
        <v>18</v>
      </c>
      <c r="C29" s="11">
        <v>31</v>
      </c>
      <c r="D29" s="11">
        <f t="shared" si="1"/>
        <v>49</v>
      </c>
      <c r="E29" s="11" t="str">
        <f t="shared" si="2"/>
        <v>failed</v>
      </c>
    </row>
    <row r="30" spans="1:11">
      <c r="A30" s="11" t="s">
        <v>146</v>
      </c>
      <c r="B30" s="11">
        <v>24</v>
      </c>
      <c r="C30" s="11">
        <v>53</v>
      </c>
      <c r="D30" s="11">
        <f t="shared" si="1"/>
        <v>77</v>
      </c>
      <c r="E30" s="11" t="str">
        <f t="shared" si="2"/>
        <v>successed</v>
      </c>
    </row>
    <row r="31" spans="1:11">
      <c r="B31"/>
      <c r="C31"/>
    </row>
    <row r="32" spans="1:11">
      <c r="B32"/>
      <c r="C32"/>
    </row>
    <row r="33" spans="1:11">
      <c r="B33"/>
      <c r="C33"/>
    </row>
    <row r="34" spans="1:11">
      <c r="A34" s="13"/>
      <c r="B34" s="13"/>
      <c r="C34" s="13"/>
      <c r="D34" s="13"/>
      <c r="E34" s="13"/>
      <c r="F34" s="13"/>
      <c r="G34" s="13"/>
      <c r="H34" s="13"/>
      <c r="I34" s="13"/>
      <c r="J34" s="13"/>
      <c r="K34" s="13"/>
    </row>
    <row r="36" spans="1:11" ht="28.8">
      <c r="A36" s="130" t="s">
        <v>157</v>
      </c>
      <c r="B36" s="130"/>
      <c r="C36" s="130"/>
      <c r="D36" s="130"/>
      <c r="E36" s="130"/>
      <c r="F36" s="130"/>
      <c r="G36" s="130"/>
      <c r="H36" s="130"/>
      <c r="I36" s="130"/>
      <c r="J36" s="130"/>
    </row>
    <row r="38" spans="1:11">
      <c r="A38" s="128" t="s">
        <v>177</v>
      </c>
      <c r="B38" s="128"/>
      <c r="C38" s="128"/>
      <c r="D38" s="128"/>
      <c r="E38" s="128"/>
      <c r="F38" s="128"/>
    </row>
    <row r="39" spans="1:11">
      <c r="A39" s="128"/>
      <c r="B39" s="128"/>
      <c r="C39" s="128"/>
      <c r="D39" s="128"/>
      <c r="E39" s="128"/>
      <c r="F39" s="128"/>
      <c r="J39"/>
    </row>
    <row r="40" spans="1:11">
      <c r="A40" s="128"/>
      <c r="B40" s="128"/>
      <c r="C40" s="128"/>
      <c r="D40" s="128"/>
      <c r="E40" s="128"/>
      <c r="F40" s="128"/>
    </row>
    <row r="41" spans="1:11">
      <c r="A41" s="128"/>
      <c r="B41" s="128"/>
      <c r="C41" s="128"/>
      <c r="D41" s="128"/>
      <c r="E41" s="128"/>
      <c r="F41" s="128"/>
    </row>
    <row r="42" spans="1:11">
      <c r="A42" s="128"/>
      <c r="B42" s="128"/>
      <c r="C42" s="128"/>
      <c r="D42" s="128"/>
      <c r="E42" s="128"/>
      <c r="F42" s="128"/>
    </row>
    <row r="44" spans="1:11">
      <c r="A44" s="129" t="s">
        <v>158</v>
      </c>
      <c r="B44" s="129"/>
      <c r="C44" s="129"/>
      <c r="D44" s="129"/>
    </row>
    <row r="46" spans="1:11" ht="63">
      <c r="A46" s="21" t="s">
        <v>159</v>
      </c>
      <c r="B46" s="21" t="s">
        <v>160</v>
      </c>
      <c r="C46" s="21" t="s">
        <v>161</v>
      </c>
      <c r="D46" s="22" t="s">
        <v>397</v>
      </c>
    </row>
    <row r="47" spans="1:11">
      <c r="A47" s="11" t="s">
        <v>162</v>
      </c>
      <c r="B47" s="11" t="s">
        <v>163</v>
      </c>
      <c r="C47" s="11">
        <v>45</v>
      </c>
      <c r="D47" s="11" t="b">
        <f>AND(B47="Fire",C47&gt;70)</f>
        <v>0</v>
      </c>
    </row>
    <row r="48" spans="1:11">
      <c r="A48" s="11" t="s">
        <v>164</v>
      </c>
      <c r="B48" s="11" t="s">
        <v>163</v>
      </c>
      <c r="C48" s="11">
        <v>60</v>
      </c>
      <c r="D48" s="11" t="b">
        <f t="shared" ref="D48:D55" si="3">AND(B48="Fire",C48&gt;70)</f>
        <v>0</v>
      </c>
    </row>
    <row r="49" spans="1:11">
      <c r="A49" s="11" t="s">
        <v>165</v>
      </c>
      <c r="B49" s="11" t="s">
        <v>163</v>
      </c>
      <c r="C49" s="11">
        <v>80</v>
      </c>
      <c r="D49" s="11" t="b">
        <f t="shared" si="3"/>
        <v>0</v>
      </c>
    </row>
    <row r="50" spans="1:11">
      <c r="A50" s="11" t="s">
        <v>166</v>
      </c>
      <c r="B50" s="11" t="s">
        <v>167</v>
      </c>
      <c r="C50" s="11">
        <v>65</v>
      </c>
      <c r="D50" s="11" t="b">
        <f t="shared" si="3"/>
        <v>0</v>
      </c>
    </row>
    <row r="51" spans="1:11">
      <c r="A51" s="11" t="s">
        <v>168</v>
      </c>
      <c r="B51" s="11" t="s">
        <v>167</v>
      </c>
      <c r="C51" s="11">
        <v>80</v>
      </c>
      <c r="D51" s="11" t="b">
        <f t="shared" si="3"/>
        <v>1</v>
      </c>
    </row>
    <row r="52" spans="1:11">
      <c r="A52" s="11" t="s">
        <v>169</v>
      </c>
      <c r="B52" s="11" t="s">
        <v>167</v>
      </c>
      <c r="C52" s="11">
        <v>100</v>
      </c>
      <c r="D52" s="11" t="b">
        <f t="shared" si="3"/>
        <v>1</v>
      </c>
    </row>
    <row r="53" spans="1:11">
      <c r="A53" s="11" t="s">
        <v>170</v>
      </c>
      <c r="B53" s="11" t="s">
        <v>171</v>
      </c>
      <c r="C53" s="11">
        <v>43</v>
      </c>
      <c r="D53" s="11" t="b">
        <f t="shared" si="3"/>
        <v>0</v>
      </c>
    </row>
    <row r="54" spans="1:11">
      <c r="A54" s="11" t="s">
        <v>172</v>
      </c>
      <c r="B54" s="11" t="s">
        <v>171</v>
      </c>
      <c r="C54" s="11">
        <v>58</v>
      </c>
      <c r="D54" s="11" t="b">
        <f t="shared" si="3"/>
        <v>0</v>
      </c>
    </row>
    <row r="55" spans="1:11">
      <c r="A55" s="11" t="s">
        <v>173</v>
      </c>
      <c r="B55" s="11" t="s">
        <v>171</v>
      </c>
      <c r="C55" s="11">
        <v>78</v>
      </c>
      <c r="D55" s="11" t="b">
        <f t="shared" si="3"/>
        <v>0</v>
      </c>
    </row>
    <row r="56" spans="1:11">
      <c r="A56" s="19" t="s">
        <v>174</v>
      </c>
      <c r="B56" s="19"/>
      <c r="C56" s="19"/>
      <c r="D56" s="19"/>
    </row>
    <row r="58" spans="1:11">
      <c r="A58" s="13"/>
      <c r="B58" s="13"/>
      <c r="C58" s="13"/>
      <c r="D58" s="13"/>
      <c r="E58" s="13"/>
      <c r="F58" s="13"/>
      <c r="G58" s="13"/>
      <c r="H58" s="13"/>
      <c r="I58" s="13"/>
      <c r="J58" s="13"/>
      <c r="K58" s="13"/>
    </row>
    <row r="60" spans="1:11" ht="28.8">
      <c r="A60" s="130" t="s">
        <v>175</v>
      </c>
      <c r="B60" s="130"/>
      <c r="C60" s="130"/>
      <c r="D60" s="130"/>
      <c r="E60" s="130"/>
      <c r="F60" s="130"/>
      <c r="G60" s="130"/>
      <c r="H60" s="130"/>
      <c r="I60" s="130"/>
      <c r="J60" s="130"/>
    </row>
    <row r="62" spans="1:11">
      <c r="A62" s="128" t="s">
        <v>176</v>
      </c>
      <c r="B62" s="128"/>
      <c r="C62" s="128"/>
      <c r="D62" s="128"/>
      <c r="E62" s="128"/>
      <c r="F62" s="128"/>
    </row>
    <row r="63" spans="1:11">
      <c r="A63" s="128"/>
      <c r="B63" s="128"/>
      <c r="C63" s="128"/>
      <c r="D63" s="128"/>
      <c r="E63" s="128"/>
      <c r="F63" s="128"/>
    </row>
    <row r="64" spans="1:11">
      <c r="A64" s="128"/>
      <c r="B64" s="128"/>
      <c r="C64" s="128"/>
      <c r="D64" s="128"/>
      <c r="E64" s="128"/>
      <c r="F64" s="128"/>
    </row>
    <row r="65" spans="1:8">
      <c r="A65" s="128"/>
      <c r="B65" s="128"/>
      <c r="C65" s="128"/>
      <c r="D65" s="128"/>
      <c r="E65" s="128"/>
      <c r="F65" s="128"/>
    </row>
    <row r="66" spans="1:8">
      <c r="A66" s="128"/>
      <c r="B66" s="128"/>
      <c r="C66" s="128"/>
      <c r="D66" s="128"/>
      <c r="E66" s="128"/>
      <c r="F66" s="128"/>
      <c r="H66"/>
    </row>
    <row r="68" spans="1:8">
      <c r="A68" s="129" t="s">
        <v>178</v>
      </c>
      <c r="B68" s="129"/>
      <c r="C68" s="129"/>
      <c r="D68" s="129"/>
    </row>
    <row r="70" spans="1:8" ht="70.2">
      <c r="A70" s="21" t="s">
        <v>159</v>
      </c>
      <c r="B70" s="21" t="s">
        <v>160</v>
      </c>
      <c r="C70" s="21" t="s">
        <v>179</v>
      </c>
      <c r="D70" s="18" t="s">
        <v>398</v>
      </c>
    </row>
    <row r="71" spans="1:8">
      <c r="A71" s="11" t="s">
        <v>180</v>
      </c>
      <c r="B71" s="11" t="s">
        <v>163</v>
      </c>
      <c r="C71" s="11">
        <v>49</v>
      </c>
      <c r="D71" s="11" t="b">
        <f>OR(B71="Water",C71&gt;60)</f>
        <v>0</v>
      </c>
    </row>
    <row r="72" spans="1:8">
      <c r="A72" s="11" t="s">
        <v>181</v>
      </c>
      <c r="B72" s="11" t="s">
        <v>163</v>
      </c>
      <c r="C72" s="11">
        <v>63</v>
      </c>
      <c r="D72" s="11" t="b">
        <f t="shared" ref="D72:D79" si="4">OR(B72="Water",C72&gt;60)</f>
        <v>1</v>
      </c>
    </row>
    <row r="73" spans="1:8">
      <c r="A73" s="11" t="s">
        <v>182</v>
      </c>
      <c r="B73" s="11" t="s">
        <v>163</v>
      </c>
      <c r="C73" s="11">
        <v>83</v>
      </c>
      <c r="D73" s="11" t="b">
        <f t="shared" si="4"/>
        <v>1</v>
      </c>
    </row>
    <row r="74" spans="1:8">
      <c r="A74" s="11" t="s">
        <v>183</v>
      </c>
      <c r="B74" s="11" t="s">
        <v>167</v>
      </c>
      <c r="C74" s="11">
        <v>43</v>
      </c>
      <c r="D74" s="11" t="b">
        <f t="shared" si="4"/>
        <v>0</v>
      </c>
    </row>
    <row r="75" spans="1:8">
      <c r="A75" s="11" t="s">
        <v>184</v>
      </c>
      <c r="B75" s="11" t="s">
        <v>167</v>
      </c>
      <c r="C75" s="11">
        <v>58</v>
      </c>
      <c r="D75" s="11" t="b">
        <f t="shared" si="4"/>
        <v>0</v>
      </c>
    </row>
    <row r="76" spans="1:8">
      <c r="A76" s="11" t="s">
        <v>185</v>
      </c>
      <c r="B76" s="11" t="s">
        <v>167</v>
      </c>
      <c r="C76" s="11">
        <v>78</v>
      </c>
      <c r="D76" s="11" t="b">
        <f t="shared" si="4"/>
        <v>1</v>
      </c>
    </row>
    <row r="77" spans="1:8">
      <c r="A77" s="11" t="s">
        <v>186</v>
      </c>
      <c r="B77" s="11" t="s">
        <v>171</v>
      </c>
      <c r="C77" s="11">
        <v>65</v>
      </c>
      <c r="D77" s="11" t="b">
        <f t="shared" si="4"/>
        <v>1</v>
      </c>
    </row>
    <row r="78" spans="1:8">
      <c r="A78" s="11" t="s">
        <v>187</v>
      </c>
      <c r="B78" s="11" t="s">
        <v>171</v>
      </c>
      <c r="C78" s="11">
        <v>80</v>
      </c>
      <c r="D78" s="11" t="b">
        <f t="shared" si="4"/>
        <v>1</v>
      </c>
    </row>
    <row r="79" spans="1:8">
      <c r="A79" s="11" t="s">
        <v>188</v>
      </c>
      <c r="B79" s="11" t="s">
        <v>171</v>
      </c>
      <c r="C79" s="11">
        <v>100</v>
      </c>
      <c r="D79" s="11" t="b">
        <f t="shared" si="4"/>
        <v>1</v>
      </c>
    </row>
    <row r="80" spans="1:8">
      <c r="A80" s="19" t="s">
        <v>174</v>
      </c>
      <c r="B80" s="19"/>
      <c r="C80" s="19"/>
      <c r="D80" s="19"/>
    </row>
    <row r="84" spans="1:11">
      <c r="A84" s="13"/>
      <c r="B84" s="13"/>
      <c r="C84" s="13"/>
      <c r="D84" s="13"/>
      <c r="E84" s="13"/>
      <c r="F84" s="13"/>
      <c r="G84" s="13"/>
      <c r="H84" s="13"/>
      <c r="I84" s="13"/>
      <c r="J84" s="13"/>
      <c r="K84" s="13"/>
    </row>
    <row r="86" spans="1:11" ht="25.8">
      <c r="C86" s="44" t="s">
        <v>268</v>
      </c>
      <c r="G86" s="40" t="s">
        <v>257</v>
      </c>
      <c r="H86" s="12" t="s">
        <v>266</v>
      </c>
      <c r="I86" s="131" t="s">
        <v>261</v>
      </c>
      <c r="J86" s="131"/>
    </row>
    <row r="87" spans="1:11">
      <c r="G87" s="41" t="s">
        <v>258</v>
      </c>
      <c r="H87" s="12" t="s">
        <v>267</v>
      </c>
      <c r="I87" s="131"/>
      <c r="J87" s="131"/>
    </row>
    <row r="89" spans="1:11">
      <c r="A89" s="39" t="s">
        <v>256</v>
      </c>
      <c r="B89" s="40" t="s">
        <v>257</v>
      </c>
      <c r="C89" s="41" t="s">
        <v>258</v>
      </c>
      <c r="D89" s="42" t="s">
        <v>259</v>
      </c>
    </row>
    <row r="90" spans="1:11">
      <c r="A90" s="12" t="s">
        <v>260</v>
      </c>
      <c r="B90" s="11">
        <v>80</v>
      </c>
      <c r="C90" s="43">
        <v>0.7</v>
      </c>
      <c r="D90" s="12" t="str">
        <f>IF(AND(B90&gt;40,C90&gt;50%),"pass","fail")</f>
        <v>pass</v>
      </c>
    </row>
    <row r="91" spans="1:11">
      <c r="A91" s="12" t="s">
        <v>262</v>
      </c>
      <c r="B91" s="11">
        <v>75</v>
      </c>
      <c r="C91" s="43">
        <v>0.5</v>
      </c>
      <c r="D91" s="12" t="str">
        <f t="shared" ref="D91:D94" si="5">IF(AND(B91&gt;40,C91&gt;50%),"pass","fail")</f>
        <v>fail</v>
      </c>
    </row>
    <row r="92" spans="1:11">
      <c r="A92" s="12" t="s">
        <v>263</v>
      </c>
      <c r="B92" s="11">
        <v>94</v>
      </c>
      <c r="C92" s="43">
        <v>0.25</v>
      </c>
      <c r="D92" s="12" t="str">
        <f t="shared" si="5"/>
        <v>fail</v>
      </c>
    </row>
    <row r="93" spans="1:11">
      <c r="A93" s="12" t="s">
        <v>264</v>
      </c>
      <c r="B93" s="11">
        <v>45</v>
      </c>
      <c r="C93" s="43">
        <v>0.8</v>
      </c>
      <c r="D93" s="12" t="str">
        <f t="shared" si="5"/>
        <v>pass</v>
      </c>
    </row>
    <row r="94" spans="1:11">
      <c r="A94" s="12" t="s">
        <v>265</v>
      </c>
      <c r="B94" s="11">
        <v>42</v>
      </c>
      <c r="C94" s="43">
        <v>1</v>
      </c>
      <c r="D94" s="12" t="str">
        <f t="shared" si="5"/>
        <v>pass</v>
      </c>
    </row>
    <row r="98" spans="1:11">
      <c r="A98" s="13"/>
      <c r="B98" s="13"/>
      <c r="C98" s="13"/>
      <c r="D98" s="13"/>
      <c r="E98" s="13"/>
      <c r="F98" s="13"/>
      <c r="G98" s="13"/>
      <c r="H98" s="13"/>
      <c r="I98" s="13"/>
      <c r="J98" s="13"/>
      <c r="K98" s="13"/>
    </row>
    <row r="100" spans="1:11" ht="25.8">
      <c r="C100" s="44" t="s">
        <v>282</v>
      </c>
      <c r="H100" s="47" t="s">
        <v>270</v>
      </c>
      <c r="I100" s="48">
        <v>30</v>
      </c>
      <c r="J100" s="131" t="s">
        <v>272</v>
      </c>
    </row>
    <row r="101" spans="1:11">
      <c r="H101" s="132" t="s">
        <v>281</v>
      </c>
      <c r="I101" s="132"/>
      <c r="J101" s="131"/>
    </row>
    <row r="102" spans="1:11">
      <c r="H102" s="49" t="s">
        <v>271</v>
      </c>
      <c r="I102" s="48">
        <v>5</v>
      </c>
      <c r="J102" s="131"/>
    </row>
    <row r="103" spans="1:11">
      <c r="A103" s="45" t="s">
        <v>269</v>
      </c>
      <c r="B103" s="45" t="s">
        <v>270</v>
      </c>
      <c r="C103" s="46" t="s">
        <v>271</v>
      </c>
      <c r="D103" s="45" t="s">
        <v>272</v>
      </c>
    </row>
    <row r="104" spans="1:11">
      <c r="A104" s="11" t="s">
        <v>273</v>
      </c>
      <c r="B104" s="11">
        <v>45</v>
      </c>
      <c r="C104" s="11">
        <v>10</v>
      </c>
      <c r="D104" s="11" t="str">
        <f>IF(OR(B104&gt;30,C104&gt;5),"Bonus","not")</f>
        <v>Bonus</v>
      </c>
    </row>
    <row r="105" spans="1:11">
      <c r="A105" s="11" t="s">
        <v>274</v>
      </c>
      <c r="B105" s="11">
        <v>12</v>
      </c>
      <c r="C105" s="11">
        <v>4</v>
      </c>
      <c r="D105" s="11" t="str">
        <f t="shared" ref="D105:D111" si="6">IF(OR(B105&gt;30,C105&gt;5),"Bonus","not")</f>
        <v>not</v>
      </c>
    </row>
    <row r="106" spans="1:11">
      <c r="A106" s="11" t="s">
        <v>275</v>
      </c>
      <c r="B106" s="11">
        <v>5</v>
      </c>
      <c r="C106" s="11">
        <v>5</v>
      </c>
      <c r="D106" s="11" t="str">
        <f t="shared" si="6"/>
        <v>not</v>
      </c>
    </row>
    <row r="107" spans="1:11">
      <c r="A107" s="11" t="s">
        <v>276</v>
      </c>
      <c r="B107" s="11">
        <v>50</v>
      </c>
      <c r="C107" s="11">
        <v>8</v>
      </c>
      <c r="D107" s="11" t="str">
        <f t="shared" si="6"/>
        <v>Bonus</v>
      </c>
    </row>
    <row r="108" spans="1:11">
      <c r="A108" s="11" t="s">
        <v>277</v>
      </c>
      <c r="B108" s="11">
        <v>52</v>
      </c>
      <c r="C108" s="11">
        <v>4</v>
      </c>
      <c r="D108" s="11" t="str">
        <f t="shared" si="6"/>
        <v>Bonus</v>
      </c>
    </row>
    <row r="109" spans="1:11">
      <c r="A109" s="11" t="s">
        <v>278</v>
      </c>
      <c r="B109" s="11">
        <v>32</v>
      </c>
      <c r="C109" s="11">
        <v>3</v>
      </c>
      <c r="D109" s="11" t="str">
        <f t="shared" si="6"/>
        <v>Bonus</v>
      </c>
    </row>
    <row r="110" spans="1:11">
      <c r="A110" s="11" t="s">
        <v>279</v>
      </c>
      <c r="B110" s="11">
        <v>19</v>
      </c>
      <c r="C110" s="11">
        <v>2</v>
      </c>
      <c r="D110" s="11" t="str">
        <f t="shared" si="6"/>
        <v>not</v>
      </c>
    </row>
    <row r="111" spans="1:11">
      <c r="A111" s="11" t="s">
        <v>280</v>
      </c>
      <c r="B111" s="11">
        <v>25</v>
      </c>
      <c r="C111" s="11">
        <v>4</v>
      </c>
      <c r="D111" s="11" t="str">
        <f t="shared" si="6"/>
        <v>not</v>
      </c>
    </row>
  </sheetData>
  <mergeCells count="12">
    <mergeCell ref="I86:J87"/>
    <mergeCell ref="H101:I101"/>
    <mergeCell ref="J100:J102"/>
    <mergeCell ref="A60:J60"/>
    <mergeCell ref="A62:F66"/>
    <mergeCell ref="A68:D68"/>
    <mergeCell ref="K4:K7"/>
    <mergeCell ref="J4:J7"/>
    <mergeCell ref="K14:K17"/>
    <mergeCell ref="A38:F42"/>
    <mergeCell ref="A44:D44"/>
    <mergeCell ref="A36:J3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57602-5172-4C1C-A0D9-9089EFE96FC1}">
  <dimension ref="A1:P26"/>
  <sheetViews>
    <sheetView zoomScale="123" workbookViewId="0">
      <selection activeCell="C3" sqref="C3"/>
    </sheetView>
  </sheetViews>
  <sheetFormatPr defaultRowHeight="14.4"/>
  <cols>
    <col min="1" max="1" width="15.5546875" style="3" customWidth="1"/>
    <col min="2" max="2" width="14.109375" style="36" customWidth="1"/>
    <col min="3" max="3" width="35" style="3" customWidth="1"/>
  </cols>
  <sheetData>
    <row r="1" spans="1:16">
      <c r="A1" s="99" t="s">
        <v>451</v>
      </c>
      <c r="B1" s="98" t="s">
        <v>305</v>
      </c>
      <c r="C1" s="99" t="s">
        <v>452</v>
      </c>
      <c r="H1" s="133" t="s">
        <v>505</v>
      </c>
      <c r="I1" s="134"/>
      <c r="J1" s="134"/>
      <c r="K1" s="134"/>
      <c r="L1" s="134"/>
      <c r="M1" s="134"/>
      <c r="N1" s="134"/>
      <c r="O1" s="134"/>
      <c r="P1" s="134"/>
    </row>
    <row r="2" spans="1:16">
      <c r="A2" s="9" t="s">
        <v>453</v>
      </c>
      <c r="B2" s="35">
        <v>5500</v>
      </c>
      <c r="C2" s="9" t="str">
        <f>IF(B2&lt;3000,"low",IF(B2&lt;5000,"mid","high"))</f>
        <v>high</v>
      </c>
      <c r="H2" s="134"/>
      <c r="I2" s="134"/>
      <c r="J2" s="134"/>
      <c r="K2" s="134"/>
      <c r="L2" s="134"/>
      <c r="M2" s="134"/>
      <c r="N2" s="134"/>
      <c r="O2" s="134"/>
      <c r="P2" s="134"/>
    </row>
    <row r="3" spans="1:16">
      <c r="A3" s="9" t="s">
        <v>454</v>
      </c>
      <c r="B3" s="35">
        <v>4500</v>
      </c>
      <c r="C3" s="9" t="str">
        <f t="shared" ref="C3:C21" si="0">IF(B3&lt;3000,"low",IF(B3&lt;5000,"mid","high"))</f>
        <v>mid</v>
      </c>
      <c r="H3" s="134"/>
      <c r="I3" s="134"/>
      <c r="J3" s="134"/>
      <c r="K3" s="134"/>
      <c r="L3" s="134"/>
      <c r="M3" s="134"/>
      <c r="N3" s="134"/>
      <c r="O3" s="134"/>
      <c r="P3" s="134"/>
    </row>
    <row r="4" spans="1:16">
      <c r="A4" s="9" t="s">
        <v>455</v>
      </c>
      <c r="B4" s="35">
        <v>2900</v>
      </c>
      <c r="C4" s="9" t="str">
        <f t="shared" si="0"/>
        <v>low</v>
      </c>
      <c r="H4" s="134"/>
      <c r="I4" s="134"/>
      <c r="J4" s="134"/>
      <c r="K4" s="134"/>
      <c r="L4" s="134"/>
      <c r="M4" s="134"/>
      <c r="N4" s="134"/>
      <c r="O4" s="134"/>
      <c r="P4" s="134"/>
    </row>
    <row r="5" spans="1:16">
      <c r="A5" s="9" t="s">
        <v>456</v>
      </c>
      <c r="B5" s="35">
        <v>3200</v>
      </c>
      <c r="C5" s="9" t="str">
        <f t="shared" si="0"/>
        <v>mid</v>
      </c>
      <c r="H5" s="134"/>
      <c r="I5" s="134"/>
      <c r="J5" s="134"/>
      <c r="K5" s="134"/>
      <c r="L5" s="134"/>
      <c r="M5" s="134"/>
      <c r="N5" s="134"/>
      <c r="O5" s="134"/>
      <c r="P5" s="134"/>
    </row>
    <row r="6" spans="1:16">
      <c r="A6" s="9" t="s">
        <v>457</v>
      </c>
      <c r="B6" s="35">
        <v>6000</v>
      </c>
      <c r="C6" s="9" t="str">
        <f t="shared" si="0"/>
        <v>high</v>
      </c>
      <c r="H6" s="134"/>
      <c r="I6" s="134"/>
      <c r="J6" s="134"/>
      <c r="K6" s="134"/>
      <c r="L6" s="134"/>
      <c r="M6" s="134"/>
      <c r="N6" s="134"/>
      <c r="O6" s="134"/>
      <c r="P6" s="134"/>
    </row>
    <row r="7" spans="1:16">
      <c r="A7" s="9" t="s">
        <v>458</v>
      </c>
      <c r="B7" s="35">
        <v>2500</v>
      </c>
      <c r="C7" s="9" t="str">
        <f t="shared" si="0"/>
        <v>low</v>
      </c>
      <c r="H7" s="134"/>
      <c r="I7" s="134"/>
      <c r="J7" s="134"/>
      <c r="K7" s="134"/>
      <c r="L7" s="134"/>
      <c r="M7" s="134"/>
      <c r="N7" s="134"/>
      <c r="O7" s="134"/>
      <c r="P7" s="134"/>
    </row>
    <row r="8" spans="1:16">
      <c r="A8" s="9" t="s">
        <v>459</v>
      </c>
      <c r="B8" s="35">
        <v>5100</v>
      </c>
      <c r="C8" s="9" t="str">
        <f t="shared" si="0"/>
        <v>high</v>
      </c>
      <c r="H8" s="134"/>
      <c r="I8" s="134"/>
      <c r="J8" s="134"/>
      <c r="K8" s="134"/>
      <c r="L8" s="134"/>
      <c r="M8" s="134"/>
      <c r="N8" s="134"/>
      <c r="O8" s="134"/>
      <c r="P8" s="134"/>
    </row>
    <row r="9" spans="1:16">
      <c r="A9" s="9" t="s">
        <v>460</v>
      </c>
      <c r="B9" s="35">
        <v>4800</v>
      </c>
      <c r="C9" s="9" t="str">
        <f t="shared" si="0"/>
        <v>mid</v>
      </c>
      <c r="H9" s="134"/>
      <c r="I9" s="134"/>
      <c r="J9" s="134"/>
      <c r="K9" s="134"/>
      <c r="L9" s="134"/>
      <c r="M9" s="134"/>
      <c r="N9" s="134"/>
      <c r="O9" s="134"/>
      <c r="P9" s="134"/>
    </row>
    <row r="10" spans="1:16">
      <c r="A10" s="9" t="s">
        <v>461</v>
      </c>
      <c r="B10" s="35">
        <v>2000</v>
      </c>
      <c r="C10" s="9" t="str">
        <f t="shared" si="0"/>
        <v>low</v>
      </c>
      <c r="H10" s="134"/>
      <c r="I10" s="134"/>
      <c r="J10" s="134"/>
      <c r="K10" s="134"/>
      <c r="L10" s="134"/>
      <c r="M10" s="134"/>
      <c r="N10" s="134"/>
      <c r="O10" s="134"/>
      <c r="P10" s="134"/>
    </row>
    <row r="11" spans="1:16">
      <c r="A11" s="9" t="s">
        <v>462</v>
      </c>
      <c r="B11" s="35">
        <v>7000</v>
      </c>
      <c r="C11" s="9" t="str">
        <f t="shared" si="0"/>
        <v>high</v>
      </c>
      <c r="H11" s="134"/>
      <c r="I11" s="134"/>
      <c r="J11" s="134"/>
      <c r="K11" s="134"/>
      <c r="L11" s="134"/>
      <c r="M11" s="134"/>
      <c r="N11" s="134"/>
      <c r="O11" s="134"/>
      <c r="P11" s="134"/>
    </row>
    <row r="12" spans="1:16">
      <c r="A12" s="9" t="s">
        <v>463</v>
      </c>
      <c r="B12" s="35">
        <v>3300</v>
      </c>
      <c r="C12" s="9" t="str">
        <f t="shared" si="0"/>
        <v>mid</v>
      </c>
      <c r="H12" s="134"/>
      <c r="I12" s="134"/>
      <c r="J12" s="134"/>
      <c r="K12" s="134"/>
      <c r="L12" s="134"/>
      <c r="M12" s="134"/>
      <c r="N12" s="134"/>
      <c r="O12" s="134"/>
      <c r="P12" s="134"/>
    </row>
    <row r="13" spans="1:16">
      <c r="A13" s="9" t="s">
        <v>464</v>
      </c>
      <c r="B13" s="35">
        <v>5400</v>
      </c>
      <c r="C13" s="9" t="str">
        <f t="shared" si="0"/>
        <v>high</v>
      </c>
    </row>
    <row r="14" spans="1:16">
      <c r="A14" s="9" t="s">
        <v>465</v>
      </c>
      <c r="B14" s="35">
        <v>3800</v>
      </c>
      <c r="C14" s="9" t="str">
        <f t="shared" si="0"/>
        <v>mid</v>
      </c>
    </row>
    <row r="15" spans="1:16" ht="17.25" customHeight="1">
      <c r="A15" s="9" t="s">
        <v>466</v>
      </c>
      <c r="B15" s="35">
        <v>1500</v>
      </c>
      <c r="C15" s="9" t="str">
        <f t="shared" si="0"/>
        <v>low</v>
      </c>
      <c r="I15" s="135" t="s">
        <v>97</v>
      </c>
      <c r="J15" s="135"/>
      <c r="K15" s="135"/>
      <c r="L15" s="135"/>
      <c r="M15" s="135"/>
      <c r="N15" s="135"/>
      <c r="O15" s="135"/>
    </row>
    <row r="16" spans="1:16">
      <c r="A16" s="9" t="s">
        <v>467</v>
      </c>
      <c r="B16" s="35">
        <v>6000</v>
      </c>
      <c r="C16" s="9" t="str">
        <f t="shared" si="0"/>
        <v>high</v>
      </c>
      <c r="I16" s="135"/>
      <c r="J16" s="135"/>
      <c r="K16" s="135"/>
      <c r="L16" s="135"/>
      <c r="M16" s="135"/>
      <c r="N16" s="135"/>
      <c r="O16" s="135"/>
    </row>
    <row r="17" spans="1:13" ht="15" customHeight="1">
      <c r="A17" s="9" t="s">
        <v>468</v>
      </c>
      <c r="B17" s="35">
        <v>2700</v>
      </c>
      <c r="C17" s="9" t="str">
        <f t="shared" si="0"/>
        <v>low</v>
      </c>
    </row>
    <row r="18" spans="1:13" ht="15" customHeight="1">
      <c r="A18" s="9" t="s">
        <v>469</v>
      </c>
      <c r="B18" s="35">
        <v>4100</v>
      </c>
      <c r="C18" s="9" t="str">
        <f t="shared" si="0"/>
        <v>mid</v>
      </c>
    </row>
    <row r="19" spans="1:13" ht="15" customHeight="1">
      <c r="A19" s="9" t="s">
        <v>470</v>
      </c>
      <c r="B19" s="35">
        <v>2900</v>
      </c>
      <c r="C19" s="9" t="str">
        <f t="shared" si="0"/>
        <v>low</v>
      </c>
      <c r="K19" s="136" t="s">
        <v>114</v>
      </c>
      <c r="L19" s="136"/>
      <c r="M19" s="136"/>
    </row>
    <row r="20" spans="1:13">
      <c r="A20" s="9" t="s">
        <v>471</v>
      </c>
      <c r="B20" s="35">
        <v>4500</v>
      </c>
      <c r="C20" s="9" t="str">
        <f t="shared" si="0"/>
        <v>mid</v>
      </c>
      <c r="K20" s="136"/>
      <c r="L20" s="136"/>
      <c r="M20" s="136"/>
    </row>
    <row r="21" spans="1:13">
      <c r="A21" s="9" t="s">
        <v>472</v>
      </c>
      <c r="B21" s="35">
        <v>5800</v>
      </c>
      <c r="C21" s="9" t="str">
        <f t="shared" si="0"/>
        <v>high</v>
      </c>
      <c r="K21" s="136"/>
      <c r="L21" s="136"/>
      <c r="M21" s="136"/>
    </row>
    <row r="22" spans="1:13" ht="15" customHeight="1">
      <c r="K22" s="136"/>
      <c r="L22" s="136"/>
      <c r="M22" s="136"/>
    </row>
    <row r="23" spans="1:13" ht="15" customHeight="1">
      <c r="K23" s="136"/>
      <c r="L23" s="136"/>
      <c r="M23" s="136"/>
    </row>
    <row r="24" spans="1:13" ht="15" customHeight="1"/>
    <row r="25" spans="1:13" ht="15" customHeight="1"/>
    <row r="26" spans="1:13" ht="15" customHeight="1"/>
  </sheetData>
  <mergeCells count="3">
    <mergeCell ref="H1:P12"/>
    <mergeCell ref="I15:O16"/>
    <mergeCell ref="K19:M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7E743-C8FD-4FC6-8229-04401B140091}">
  <dimension ref="A1:P21"/>
  <sheetViews>
    <sheetView workbookViewId="0">
      <selection activeCell="C21" sqref="C21"/>
    </sheetView>
  </sheetViews>
  <sheetFormatPr defaultRowHeight="14.4"/>
  <cols>
    <col min="1" max="1" width="16.6640625" customWidth="1"/>
    <col min="2" max="2" width="17.44140625" style="36" customWidth="1"/>
    <col min="3" max="3" width="45.6640625" customWidth="1"/>
    <col min="15" max="15" width="15.6640625" style="3" customWidth="1"/>
    <col min="16" max="16" width="19.5546875" bestFit="1" customWidth="1"/>
  </cols>
  <sheetData>
    <row r="1" spans="1:16" ht="15" customHeight="1">
      <c r="A1" s="101" t="s">
        <v>474</v>
      </c>
      <c r="B1" s="102" t="s">
        <v>473</v>
      </c>
      <c r="C1" s="102" t="s">
        <v>496</v>
      </c>
      <c r="F1" s="137" t="s">
        <v>495</v>
      </c>
      <c r="G1" s="137"/>
      <c r="H1" s="137"/>
      <c r="I1" s="137"/>
      <c r="J1" s="137"/>
      <c r="K1" s="137"/>
      <c r="L1" s="137"/>
      <c r="M1" s="137"/>
    </row>
    <row r="2" spans="1:16" ht="15" customHeight="1">
      <c r="A2" s="100" t="s">
        <v>475</v>
      </c>
      <c r="B2" s="35">
        <v>12000</v>
      </c>
      <c r="C2" s="100" t="str">
        <f>IF(B2&lt;4000,"Needs Improvement",IF(AND(B2&gt;4000,B2&lt;7000),"Average Performer",IF(AND(B2&gt;=7000,B2&lt;10000),"Good performer","top performer")))</f>
        <v>top performer</v>
      </c>
      <c r="F2" s="137"/>
      <c r="G2" s="137"/>
      <c r="H2" s="137"/>
      <c r="I2" s="137"/>
      <c r="J2" s="137"/>
      <c r="K2" s="137"/>
      <c r="L2" s="137"/>
      <c r="M2" s="137"/>
    </row>
    <row r="3" spans="1:16" ht="15" customHeight="1">
      <c r="A3" s="100" t="s">
        <v>476</v>
      </c>
      <c r="B3" s="35">
        <v>9500</v>
      </c>
      <c r="C3" s="100" t="str">
        <f t="shared" ref="C3:C21" si="0">IF(B3&lt;4000,"Needs Improvement",IF(AND(B3&gt;4000,B3&lt;7000),"Average Performer",IF(AND(B3&gt;=7000,B3&lt;10000),"Good performer","top performer")))</f>
        <v>Good performer</v>
      </c>
      <c r="F3" s="137"/>
      <c r="G3" s="137"/>
      <c r="H3" s="137"/>
      <c r="I3" s="137"/>
      <c r="J3" s="137"/>
      <c r="K3" s="137"/>
      <c r="L3" s="137"/>
      <c r="M3" s="137"/>
      <c r="O3" s="103" t="s">
        <v>498</v>
      </c>
      <c r="P3" s="104" t="s">
        <v>497</v>
      </c>
    </row>
    <row r="4" spans="1:16" ht="15" customHeight="1">
      <c r="A4" s="100" t="s">
        <v>477</v>
      </c>
      <c r="B4" s="35">
        <v>8500</v>
      </c>
      <c r="C4" s="100" t="str">
        <f t="shared" si="0"/>
        <v>Good performer</v>
      </c>
      <c r="F4" s="137"/>
      <c r="G4" s="137"/>
      <c r="H4" s="137"/>
      <c r="I4" s="137"/>
      <c r="J4" s="137"/>
      <c r="K4" s="137"/>
      <c r="L4" s="137"/>
      <c r="M4" s="137"/>
      <c r="O4" s="105" t="s">
        <v>499</v>
      </c>
      <c r="P4" s="106" t="s">
        <v>500</v>
      </c>
    </row>
    <row r="5" spans="1:16" ht="15" customHeight="1">
      <c r="A5" s="100" t="s">
        <v>478</v>
      </c>
      <c r="B5" s="35">
        <v>6000</v>
      </c>
      <c r="C5" s="100" t="str">
        <f t="shared" si="0"/>
        <v>Average Performer</v>
      </c>
      <c r="F5" s="137"/>
      <c r="G5" s="137"/>
      <c r="H5" s="137"/>
      <c r="I5" s="137"/>
      <c r="J5" s="137"/>
      <c r="K5" s="137"/>
      <c r="L5" s="137"/>
      <c r="M5" s="137"/>
      <c r="O5" s="105" t="s">
        <v>501</v>
      </c>
      <c r="P5" s="106" t="s">
        <v>502</v>
      </c>
    </row>
    <row r="6" spans="1:16" ht="15" customHeight="1">
      <c r="A6" s="100" t="s">
        <v>479</v>
      </c>
      <c r="B6" s="35">
        <v>3500</v>
      </c>
      <c r="C6" s="100" t="str">
        <f t="shared" si="0"/>
        <v>Needs Improvement</v>
      </c>
      <c r="F6" s="137"/>
      <c r="G6" s="137"/>
      <c r="H6" s="137"/>
      <c r="I6" s="137"/>
      <c r="J6" s="137"/>
      <c r="K6" s="137"/>
      <c r="L6" s="137"/>
      <c r="M6" s="137"/>
      <c r="O6" s="107" t="s">
        <v>503</v>
      </c>
      <c r="P6" s="108" t="s">
        <v>504</v>
      </c>
    </row>
    <row r="7" spans="1:16" ht="15" customHeight="1">
      <c r="A7" s="100" t="s">
        <v>480</v>
      </c>
      <c r="B7" s="35">
        <v>7500</v>
      </c>
      <c r="C7" s="100" t="str">
        <f t="shared" si="0"/>
        <v>Good performer</v>
      </c>
      <c r="F7" s="137"/>
      <c r="G7" s="137"/>
      <c r="H7" s="137"/>
      <c r="I7" s="137"/>
      <c r="J7" s="137"/>
      <c r="K7" s="137"/>
      <c r="L7" s="137"/>
      <c r="M7" s="137"/>
    </row>
    <row r="8" spans="1:16" ht="15" customHeight="1">
      <c r="A8" s="100" t="s">
        <v>481</v>
      </c>
      <c r="B8" s="35">
        <v>3000</v>
      </c>
      <c r="C8" s="100" t="str">
        <f t="shared" si="0"/>
        <v>Needs Improvement</v>
      </c>
      <c r="F8" s="137"/>
      <c r="G8" s="137"/>
      <c r="H8" s="137"/>
      <c r="I8" s="137"/>
      <c r="J8" s="137"/>
      <c r="K8" s="137"/>
      <c r="L8" s="137"/>
      <c r="M8" s="137"/>
    </row>
    <row r="9" spans="1:16" ht="15" customHeight="1">
      <c r="A9" s="100" t="s">
        <v>482</v>
      </c>
      <c r="B9" s="35">
        <v>4500</v>
      </c>
      <c r="C9" s="100" t="str">
        <f t="shared" si="0"/>
        <v>Average Performer</v>
      </c>
      <c r="F9" s="137"/>
      <c r="G9" s="137"/>
      <c r="H9" s="137"/>
      <c r="I9" s="137"/>
      <c r="J9" s="137"/>
      <c r="K9" s="137"/>
      <c r="L9" s="137"/>
      <c r="M9" s="137"/>
    </row>
    <row r="10" spans="1:16" ht="15" customHeight="1">
      <c r="A10" s="100" t="s">
        <v>483</v>
      </c>
      <c r="B10" s="35">
        <v>6500</v>
      </c>
      <c r="C10" s="100" t="str">
        <f t="shared" si="0"/>
        <v>Average Performer</v>
      </c>
      <c r="F10" s="137"/>
      <c r="G10" s="137"/>
      <c r="H10" s="137"/>
      <c r="I10" s="137"/>
      <c r="J10" s="137"/>
      <c r="K10" s="137"/>
      <c r="L10" s="137"/>
      <c r="M10" s="137"/>
    </row>
    <row r="11" spans="1:16" ht="15" customHeight="1">
      <c r="A11" s="100" t="s">
        <v>484</v>
      </c>
      <c r="B11" s="35">
        <v>11000</v>
      </c>
      <c r="C11" s="100" t="str">
        <f t="shared" si="0"/>
        <v>top performer</v>
      </c>
      <c r="F11" s="137"/>
      <c r="G11" s="137"/>
      <c r="H11" s="137"/>
      <c r="I11" s="137"/>
      <c r="J11" s="137"/>
      <c r="K11" s="137"/>
      <c r="L11" s="137"/>
      <c r="M11" s="137"/>
    </row>
    <row r="12" spans="1:16" ht="15" customHeight="1">
      <c r="A12" s="100" t="s">
        <v>485</v>
      </c>
      <c r="B12" s="35">
        <v>3900</v>
      </c>
      <c r="C12" s="100" t="str">
        <f t="shared" si="0"/>
        <v>Needs Improvement</v>
      </c>
      <c r="F12" s="137"/>
      <c r="G12" s="137"/>
      <c r="H12" s="137"/>
      <c r="I12" s="137"/>
      <c r="J12" s="137"/>
      <c r="K12" s="137"/>
      <c r="L12" s="137"/>
      <c r="M12" s="137"/>
    </row>
    <row r="13" spans="1:16" ht="15" customHeight="1">
      <c r="A13" s="100" t="s">
        <v>486</v>
      </c>
      <c r="B13" s="35">
        <v>7000</v>
      </c>
      <c r="C13" s="100" t="str">
        <f t="shared" si="0"/>
        <v>Good performer</v>
      </c>
      <c r="F13" s="137"/>
      <c r="G13" s="137"/>
      <c r="H13" s="137"/>
      <c r="I13" s="137"/>
      <c r="J13" s="137"/>
      <c r="K13" s="137"/>
      <c r="L13" s="137"/>
      <c r="M13" s="137"/>
    </row>
    <row r="14" spans="1:16">
      <c r="A14" s="100" t="s">
        <v>487</v>
      </c>
      <c r="B14" s="35">
        <v>8000</v>
      </c>
      <c r="C14" s="100" t="str">
        <f t="shared" si="0"/>
        <v>Good performer</v>
      </c>
      <c r="F14" s="137"/>
      <c r="G14" s="137"/>
      <c r="H14" s="137"/>
      <c r="I14" s="137"/>
      <c r="J14" s="137"/>
      <c r="K14" s="137"/>
      <c r="L14" s="137"/>
      <c r="M14" s="137"/>
    </row>
    <row r="15" spans="1:16">
      <c r="A15" s="100" t="s">
        <v>488</v>
      </c>
      <c r="B15" s="35">
        <v>5000</v>
      </c>
      <c r="C15" s="100" t="str">
        <f t="shared" si="0"/>
        <v>Average Performer</v>
      </c>
      <c r="F15" s="137"/>
      <c r="G15" s="137"/>
      <c r="H15" s="137"/>
      <c r="I15" s="137"/>
      <c r="J15" s="137"/>
      <c r="K15" s="137"/>
      <c r="L15" s="137"/>
      <c r="M15" s="137"/>
    </row>
    <row r="16" spans="1:16">
      <c r="A16" s="100" t="s">
        <v>489</v>
      </c>
      <c r="B16" s="35">
        <v>10000</v>
      </c>
      <c r="C16" s="100" t="str">
        <f t="shared" si="0"/>
        <v>top performer</v>
      </c>
      <c r="F16" s="137"/>
      <c r="G16" s="137"/>
      <c r="H16" s="137"/>
      <c r="I16" s="137"/>
      <c r="J16" s="137"/>
      <c r="K16" s="137"/>
      <c r="L16" s="137"/>
      <c r="M16" s="137"/>
    </row>
    <row r="17" spans="1:3">
      <c r="A17" s="100" t="s">
        <v>490</v>
      </c>
      <c r="B17" s="35">
        <v>2000</v>
      </c>
      <c r="C17" s="100" t="str">
        <f t="shared" si="0"/>
        <v>Needs Improvement</v>
      </c>
    </row>
    <row r="18" spans="1:3">
      <c r="A18" s="100" t="s">
        <v>491</v>
      </c>
      <c r="B18" s="35">
        <v>4500</v>
      </c>
      <c r="C18" s="100" t="str">
        <f t="shared" si="0"/>
        <v>Average Performer</v>
      </c>
    </row>
    <row r="19" spans="1:3">
      <c r="A19" s="100" t="s">
        <v>492</v>
      </c>
      <c r="B19" s="35">
        <v>3400</v>
      </c>
      <c r="C19" s="100" t="str">
        <f t="shared" si="0"/>
        <v>Needs Improvement</v>
      </c>
    </row>
    <row r="20" spans="1:3">
      <c r="A20" s="100" t="s">
        <v>493</v>
      </c>
      <c r="B20" s="35">
        <v>8000</v>
      </c>
      <c r="C20" s="100" t="str">
        <f t="shared" si="0"/>
        <v>Good performer</v>
      </c>
    </row>
    <row r="21" spans="1:3">
      <c r="A21" s="100" t="s">
        <v>494</v>
      </c>
      <c r="B21" s="35">
        <v>12000</v>
      </c>
      <c r="C21" s="100" t="str">
        <f t="shared" si="0"/>
        <v>top performer</v>
      </c>
    </row>
  </sheetData>
  <mergeCells count="1">
    <mergeCell ref="F1:M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7C2CA-180F-4384-83EA-5ADC3C9A8AB7}">
  <dimension ref="A1:K22"/>
  <sheetViews>
    <sheetView workbookViewId="0">
      <selection activeCell="C3" sqref="C3"/>
    </sheetView>
  </sheetViews>
  <sheetFormatPr defaultColWidth="9.109375" defaultRowHeight="18"/>
  <cols>
    <col min="1" max="1" width="16.109375" style="27" customWidth="1"/>
    <col min="2" max="2" width="16" style="89" bestFit="1" customWidth="1"/>
    <col min="3" max="3" width="34.109375" style="20" customWidth="1"/>
    <col min="4" max="7" width="9.109375" style="27"/>
    <col min="8" max="9" width="11.33203125" style="27" bestFit="1" customWidth="1"/>
    <col min="10" max="16384" width="9.109375" style="27"/>
  </cols>
  <sheetData>
    <row r="1" spans="1:11">
      <c r="A1" s="90" t="s">
        <v>435</v>
      </c>
      <c r="B1" s="91" t="s">
        <v>436</v>
      </c>
      <c r="C1" s="93" t="s">
        <v>437</v>
      </c>
      <c r="H1" s="85" t="s">
        <v>435</v>
      </c>
      <c r="I1" s="85" t="s">
        <v>438</v>
      </c>
    </row>
    <row r="2" spans="1:11">
      <c r="A2" s="86" t="s">
        <v>441</v>
      </c>
      <c r="B2" s="92">
        <v>800</v>
      </c>
      <c r="C2" s="109" cm="1">
        <f t="array" ref="C2">_xlfn.IFS(A2=$H$2,$I$2,A2=$H$3,$I$3,TRUE,"2%")</f>
        <v>0.05</v>
      </c>
      <c r="H2" s="86" t="s">
        <v>440</v>
      </c>
      <c r="I2" s="87">
        <v>0.04</v>
      </c>
    </row>
    <row r="3" spans="1:11">
      <c r="A3" s="86" t="s">
        <v>440</v>
      </c>
      <c r="B3" s="92">
        <v>700</v>
      </c>
      <c r="C3" s="109" cm="1">
        <f t="array" ref="C3">_xlfn.IFS(A3=$H$2,$I$2,A3=$H$3,$I$3,TRUE,"2%")</f>
        <v>0.04</v>
      </c>
      <c r="H3" s="88" t="s">
        <v>441</v>
      </c>
      <c r="I3" s="87">
        <v>0.05</v>
      </c>
    </row>
    <row r="4" spans="1:11">
      <c r="A4" s="86" t="s">
        <v>443</v>
      </c>
      <c r="B4" s="92">
        <v>500</v>
      </c>
      <c r="C4" s="109" t="str" cm="1">
        <f t="array" ref="C4">_xlfn.IFS(A4=$H$2,$I$2,A4=$H$3,$I$3,TRUE,"2%")</f>
        <v>2%</v>
      </c>
      <c r="H4" s="88" t="s">
        <v>439</v>
      </c>
      <c r="I4" s="87">
        <v>0.02</v>
      </c>
    </row>
    <row r="5" spans="1:11">
      <c r="A5" s="86" t="s">
        <v>442</v>
      </c>
      <c r="B5" s="92">
        <v>300</v>
      </c>
      <c r="C5" s="109" t="str" cm="1">
        <f t="array" ref="C5">_xlfn.IFS(A5=$H$2,$I$2,A5=$H$3,$I$3,TRUE,"2%")</f>
        <v>2%</v>
      </c>
      <c r="H5"/>
      <c r="I5"/>
      <c r="J5"/>
      <c r="K5"/>
    </row>
    <row r="6" spans="1:11">
      <c r="A6" s="86" t="s">
        <v>444</v>
      </c>
      <c r="B6" s="92">
        <v>600</v>
      </c>
      <c r="C6" s="109" t="str" cm="1">
        <f t="array" ref="C6">_xlfn.IFS(A6=$H$2,$I$2,A6=$H$3,$I$3,TRUE,"2%")</f>
        <v>2%</v>
      </c>
      <c r="H6"/>
      <c r="I6"/>
      <c r="J6"/>
      <c r="K6"/>
    </row>
    <row r="7" spans="1:11">
      <c r="A7" s="86" t="s">
        <v>445</v>
      </c>
      <c r="B7" s="92">
        <v>400</v>
      </c>
      <c r="C7" s="109" t="str" cm="1">
        <f t="array" ref="C7">_xlfn.IFS(A7=$H$2,$I$2,A7=$H$3,$I$3,TRUE,"2%")</f>
        <v>2%</v>
      </c>
      <c r="H7"/>
      <c r="I7"/>
      <c r="J7"/>
      <c r="K7"/>
    </row>
    <row r="8" spans="1:11">
      <c r="A8" s="86" t="s">
        <v>442</v>
      </c>
      <c r="B8" s="92">
        <v>450</v>
      </c>
      <c r="C8" s="109" t="str" cm="1">
        <f t="array" ref="C8">_xlfn.IFS(A8=$H$2,$I$2,A8=$H$3,$I$3,TRUE,"2%")</f>
        <v>2%</v>
      </c>
      <c r="H8"/>
      <c r="I8"/>
      <c r="J8"/>
      <c r="K8"/>
    </row>
    <row r="9" spans="1:11">
      <c r="A9" s="86" t="s">
        <v>446</v>
      </c>
      <c r="B9" s="92">
        <v>750</v>
      </c>
      <c r="C9" s="109" t="str" cm="1">
        <f t="array" ref="C9">_xlfn.IFS(A9=$H$2,$I$2,A9=$H$3,$I$3,TRUE,"2%")</f>
        <v>2%</v>
      </c>
      <c r="H9"/>
      <c r="I9"/>
      <c r="J9"/>
      <c r="K9"/>
    </row>
    <row r="10" spans="1:11">
      <c r="A10" s="86" t="s">
        <v>440</v>
      </c>
      <c r="B10" s="92">
        <v>350</v>
      </c>
      <c r="C10" s="109" cm="1">
        <f t="array" ref="C10">_xlfn.IFS(A10=$H$2,$I$2,A10=$H$3,$I$3,TRUE,"2%")</f>
        <v>0.04</v>
      </c>
      <c r="H10"/>
      <c r="I10"/>
      <c r="J10"/>
      <c r="K10"/>
    </row>
    <row r="11" spans="1:11">
      <c r="A11" s="86" t="s">
        <v>441</v>
      </c>
      <c r="B11" s="92">
        <v>550</v>
      </c>
      <c r="C11" s="109" cm="1">
        <f t="array" ref="C11">_xlfn.IFS(A11=$H$2,$I$2,A11=$H$3,$I$3,TRUE,"2%")</f>
        <v>0.05</v>
      </c>
    </row>
    <row r="15" spans="1:11">
      <c r="A15" s="94"/>
      <c r="B15" s="95"/>
      <c r="C15" s="96"/>
      <c r="D15" s="94"/>
      <c r="E15" s="94"/>
      <c r="F15" s="94"/>
      <c r="G15" s="94"/>
      <c r="H15" s="94"/>
      <c r="I15" s="94"/>
      <c r="J15" s="94"/>
      <c r="K15" s="94"/>
    </row>
    <row r="18" spans="1:1">
      <c r="A18" s="97" t="s">
        <v>447</v>
      </c>
    </row>
    <row r="19" spans="1:1">
      <c r="A19" s="20" t="s">
        <v>441</v>
      </c>
    </row>
    <row r="20" spans="1:1">
      <c r="A20" s="20" t="s">
        <v>448</v>
      </c>
    </row>
    <row r="21" spans="1:1">
      <c r="A21" s="20" t="s">
        <v>449</v>
      </c>
    </row>
    <row r="22" spans="1:1">
      <c r="A22" s="20" t="s">
        <v>450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EABED-35A4-454C-BD4E-E9FA8BA214D9}">
  <dimension ref="A1:K20"/>
  <sheetViews>
    <sheetView workbookViewId="0">
      <selection sqref="A1:K6"/>
    </sheetView>
  </sheetViews>
  <sheetFormatPr defaultRowHeight="14.4"/>
  <cols>
    <col min="3" max="3" width="12.44140625" bestFit="1" customWidth="1"/>
  </cols>
  <sheetData>
    <row r="1" spans="1:11">
      <c r="A1" s="141" t="s">
        <v>148</v>
      </c>
      <c r="B1" s="141"/>
      <c r="C1" s="141"/>
      <c r="D1" s="141"/>
      <c r="E1" s="141"/>
      <c r="F1" s="141"/>
      <c r="G1" s="141"/>
      <c r="H1" s="141"/>
      <c r="I1" s="141"/>
      <c r="J1" s="141"/>
      <c r="K1" s="141"/>
    </row>
    <row r="2" spans="1:11" ht="15" customHeight="1">
      <c r="A2" s="141"/>
      <c r="B2" s="141"/>
      <c r="C2" s="141"/>
      <c r="D2" s="141"/>
      <c r="E2" s="141"/>
      <c r="F2" s="141"/>
      <c r="G2" s="141"/>
      <c r="H2" s="141"/>
      <c r="I2" s="141"/>
      <c r="J2" s="141"/>
      <c r="K2" s="141"/>
    </row>
    <row r="3" spans="1:11" ht="15" customHeight="1">
      <c r="A3" s="141"/>
      <c r="B3" s="141"/>
      <c r="C3" s="141"/>
      <c r="D3" s="141"/>
      <c r="E3" s="141"/>
      <c r="F3" s="141"/>
      <c r="G3" s="141"/>
      <c r="H3" s="141"/>
      <c r="I3" s="141"/>
      <c r="J3" s="141"/>
      <c r="K3" s="141"/>
    </row>
    <row r="4" spans="1:11" ht="15" customHeight="1">
      <c r="A4" s="141"/>
      <c r="B4" s="141"/>
      <c r="C4" s="141"/>
      <c r="D4" s="141"/>
      <c r="E4" s="141"/>
      <c r="F4" s="141"/>
      <c r="G4" s="141"/>
      <c r="H4" s="141"/>
      <c r="I4" s="141"/>
      <c r="J4" s="141"/>
      <c r="K4" s="141"/>
    </row>
    <row r="5" spans="1:11" ht="15" customHeight="1">
      <c r="A5" s="141"/>
      <c r="B5" s="141"/>
      <c r="C5" s="141"/>
      <c r="D5" s="141"/>
      <c r="E5" s="141"/>
      <c r="F5" s="141"/>
      <c r="G5" s="141"/>
      <c r="H5" s="141"/>
      <c r="I5" s="141"/>
      <c r="J5" s="141"/>
      <c r="K5" s="141"/>
    </row>
    <row r="6" spans="1:11" ht="15" customHeight="1">
      <c r="A6" s="141"/>
      <c r="B6" s="141"/>
      <c r="C6" s="141"/>
      <c r="D6" s="141"/>
      <c r="E6" s="141"/>
      <c r="F6" s="141"/>
      <c r="G6" s="141"/>
      <c r="H6" s="141"/>
      <c r="I6" s="141"/>
      <c r="J6" s="141"/>
      <c r="K6" s="141"/>
    </row>
    <row r="7" spans="1:11" ht="15" customHeight="1"/>
    <row r="9" spans="1:11" ht="18">
      <c r="A9" s="142" t="s">
        <v>149</v>
      </c>
      <c r="B9" s="142"/>
      <c r="C9" s="142"/>
      <c r="D9" s="142"/>
    </row>
    <row r="11" spans="1:11" ht="18">
      <c r="A11" s="143" t="s">
        <v>156</v>
      </c>
      <c r="B11" s="143"/>
      <c r="C11" s="143"/>
      <c r="D11" s="143"/>
      <c r="E11" s="143"/>
      <c r="F11" s="143"/>
    </row>
    <row r="12" spans="1:11">
      <c r="A12" s="17"/>
    </row>
    <row r="13" spans="1:11" ht="42.75" customHeight="1">
      <c r="A13" s="144" t="s">
        <v>150</v>
      </c>
      <c r="B13" s="144"/>
      <c r="C13" s="144"/>
      <c r="D13" s="144"/>
      <c r="E13" s="144"/>
      <c r="F13" s="144"/>
      <c r="G13" s="144"/>
      <c r="H13" s="144"/>
      <c r="I13" s="144"/>
      <c r="J13" s="144"/>
      <c r="K13" s="144"/>
    </row>
    <row r="14" spans="1:11" ht="54" customHeight="1">
      <c r="A14" s="145" t="s">
        <v>151</v>
      </c>
      <c r="B14" s="145"/>
      <c r="C14" s="145"/>
      <c r="D14" s="145"/>
      <c r="E14" s="145"/>
      <c r="F14" s="145"/>
      <c r="G14" s="145"/>
      <c r="H14" s="145"/>
      <c r="I14" s="145"/>
      <c r="J14" s="145"/>
      <c r="K14" s="145"/>
    </row>
    <row r="15" spans="1:11" ht="45.75" customHeight="1">
      <c r="A15" s="138" t="s">
        <v>152</v>
      </c>
      <c r="B15" s="138"/>
      <c r="C15" s="138"/>
      <c r="D15" s="138"/>
      <c r="E15" s="138"/>
      <c r="F15" s="138"/>
      <c r="G15" s="138"/>
      <c r="H15" s="138"/>
      <c r="I15" s="138"/>
      <c r="J15" s="138"/>
      <c r="K15" s="138"/>
    </row>
    <row r="16" spans="1:11" ht="77.25" customHeight="1">
      <c r="A16" s="138" t="s">
        <v>153</v>
      </c>
      <c r="B16" s="138"/>
      <c r="C16" s="138"/>
      <c r="D16" s="138"/>
      <c r="E16" s="138"/>
      <c r="F16" s="138"/>
      <c r="G16" s="138"/>
      <c r="H16" s="138"/>
      <c r="I16" s="138"/>
      <c r="J16" s="138"/>
      <c r="K16" s="138"/>
    </row>
    <row r="19" spans="1:11" ht="21">
      <c r="A19" s="140" t="s">
        <v>155</v>
      </c>
      <c r="B19" s="140"/>
      <c r="C19" s="140"/>
      <c r="D19" s="140"/>
      <c r="E19" s="140"/>
      <c r="F19" s="140"/>
      <c r="G19" s="140"/>
      <c r="H19" s="140"/>
    </row>
    <row r="20" spans="1:11" ht="20.399999999999999">
      <c r="A20" s="139" t="s">
        <v>154</v>
      </c>
      <c r="B20" s="139"/>
      <c r="C20" s="139"/>
      <c r="D20" s="139"/>
      <c r="E20" s="139"/>
      <c r="F20" s="139"/>
      <c r="G20" s="139"/>
      <c r="H20" s="139"/>
      <c r="I20" s="139"/>
      <c r="J20" s="139"/>
      <c r="K20" s="139"/>
    </row>
  </sheetData>
  <mergeCells count="9">
    <mergeCell ref="A15:K15"/>
    <mergeCell ref="A16:K16"/>
    <mergeCell ref="A20:K20"/>
    <mergeCell ref="A19:H19"/>
    <mergeCell ref="A1:K6"/>
    <mergeCell ref="A9:D9"/>
    <mergeCell ref="A11:F11"/>
    <mergeCell ref="A13:K13"/>
    <mergeCell ref="A14:K1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58F02-D1E5-4F77-9776-51741FD30DAE}">
  <dimension ref="A1:L31"/>
  <sheetViews>
    <sheetView zoomScale="90" zoomScaleNormal="90" workbookViewId="0">
      <selection activeCell="L24" sqref="L24"/>
    </sheetView>
  </sheetViews>
  <sheetFormatPr defaultRowHeight="14.4"/>
  <cols>
    <col min="1" max="1" width="13.33203125" bestFit="1" customWidth="1"/>
    <col min="2" max="2" width="29.6640625" bestFit="1" customWidth="1"/>
    <col min="3" max="3" width="18.109375" bestFit="1" customWidth="1"/>
    <col min="4" max="4" width="10.109375" style="83" customWidth="1"/>
    <col min="5" max="5" width="16" bestFit="1" customWidth="1"/>
    <col min="8" max="8" width="16" customWidth="1"/>
    <col min="9" max="9" width="29.6640625" bestFit="1" customWidth="1"/>
    <col min="10" max="10" width="20.6640625" style="3" customWidth="1"/>
    <col min="11" max="11" width="25.44140625" style="3" customWidth="1"/>
    <col min="12" max="12" width="26" style="3" customWidth="1"/>
    <col min="13" max="13" width="23.109375" customWidth="1"/>
    <col min="14" max="14" width="21.33203125" customWidth="1"/>
  </cols>
  <sheetData>
    <row r="1" spans="1:12" ht="15.6">
      <c r="A1" s="80" t="s">
        <v>307</v>
      </c>
      <c r="B1" s="80" t="s">
        <v>399</v>
      </c>
      <c r="C1" s="80" t="s">
        <v>304</v>
      </c>
      <c r="D1" s="81" t="s">
        <v>305</v>
      </c>
      <c r="E1" s="80" t="s">
        <v>400</v>
      </c>
      <c r="H1" s="84" t="s">
        <v>307</v>
      </c>
      <c r="I1" s="84" t="s">
        <v>399</v>
      </c>
      <c r="J1" s="84" t="s">
        <v>304</v>
      </c>
      <c r="K1" s="84" t="s">
        <v>305</v>
      </c>
      <c r="L1" s="84" t="s">
        <v>400</v>
      </c>
    </row>
    <row r="2" spans="1:12" ht="15.6">
      <c r="A2" s="30">
        <v>30</v>
      </c>
      <c r="B2" s="30" t="s">
        <v>401</v>
      </c>
      <c r="C2" s="30" t="s">
        <v>402</v>
      </c>
      <c r="D2" s="82">
        <v>10200</v>
      </c>
      <c r="E2" s="30">
        <v>1030123456</v>
      </c>
      <c r="H2" s="30">
        <v>30</v>
      </c>
      <c r="I2" s="30" t="s">
        <v>401</v>
      </c>
      <c r="J2" s="30" t="str">
        <f>VLOOKUP(H2,A:E,3,)</f>
        <v>Project Manager</v>
      </c>
      <c r="K2" s="30">
        <f>VLOOKUP(I2,B:F,3,)</f>
        <v>10200</v>
      </c>
      <c r="L2" s="30">
        <f>VLOOKUP(J2,C:G,3,)</f>
        <v>1030123456</v>
      </c>
    </row>
    <row r="3" spans="1:12" ht="15.6">
      <c r="A3" s="30">
        <v>29</v>
      </c>
      <c r="B3" s="30" t="s">
        <v>403</v>
      </c>
      <c r="C3" s="30" t="s">
        <v>404</v>
      </c>
      <c r="D3" s="82">
        <v>10500</v>
      </c>
      <c r="E3" s="30">
        <v>1029012345</v>
      </c>
      <c r="H3" s="30">
        <v>23</v>
      </c>
      <c r="I3" s="30" t="s">
        <v>412</v>
      </c>
      <c r="J3" s="30" t="str">
        <f t="shared" ref="J3:J6" si="0">VLOOKUP(H3,A:E,3,)</f>
        <v>HR Manager</v>
      </c>
      <c r="K3" s="30">
        <f t="shared" ref="K3:K6" si="1">VLOOKUP(I3,B:F,3,)</f>
        <v>8500</v>
      </c>
      <c r="L3" s="30">
        <f t="shared" ref="L3:L6" si="2">VLOOKUP(J3,C:G,3,)</f>
        <v>1029012345</v>
      </c>
    </row>
    <row r="4" spans="1:12" ht="15.6">
      <c r="A4" s="30">
        <v>28</v>
      </c>
      <c r="B4" s="30" t="s">
        <v>405</v>
      </c>
      <c r="C4" s="30" t="s">
        <v>406</v>
      </c>
      <c r="D4" s="82">
        <v>9800</v>
      </c>
      <c r="E4" s="30">
        <v>1028901234</v>
      </c>
      <c r="H4" s="30">
        <v>17</v>
      </c>
      <c r="I4" s="30" t="s">
        <v>418</v>
      </c>
      <c r="J4" s="30" t="str">
        <f t="shared" si="0"/>
        <v>Software Engineer</v>
      </c>
      <c r="K4" s="30">
        <f t="shared" si="1"/>
        <v>15000</v>
      </c>
      <c r="L4" s="30">
        <f t="shared" si="2"/>
        <v>1028901234</v>
      </c>
    </row>
    <row r="5" spans="1:12" ht="15.6">
      <c r="A5" s="30">
        <v>27</v>
      </c>
      <c r="B5" s="30" t="s">
        <v>407</v>
      </c>
      <c r="C5" s="30" t="s">
        <v>408</v>
      </c>
      <c r="D5" s="82">
        <v>9500</v>
      </c>
      <c r="E5" s="30">
        <v>1027890123</v>
      </c>
      <c r="H5" s="30">
        <v>11</v>
      </c>
      <c r="I5" s="30" t="s">
        <v>424</v>
      </c>
      <c r="J5" s="30" t="str">
        <f t="shared" si="0"/>
        <v>Project Manager</v>
      </c>
      <c r="K5" s="30">
        <f t="shared" si="1"/>
        <v>11000</v>
      </c>
      <c r="L5" s="30">
        <f t="shared" si="2"/>
        <v>1030123456</v>
      </c>
    </row>
    <row r="6" spans="1:12" ht="15.6">
      <c r="A6" s="30">
        <v>26</v>
      </c>
      <c r="B6" s="30" t="s">
        <v>409</v>
      </c>
      <c r="C6" s="30" t="s">
        <v>402</v>
      </c>
      <c r="D6" s="82">
        <v>9000</v>
      </c>
      <c r="E6" s="30">
        <v>1026789012</v>
      </c>
      <c r="H6" s="30">
        <v>4</v>
      </c>
      <c r="I6" s="30" t="s">
        <v>431</v>
      </c>
      <c r="J6" s="30" t="str">
        <f t="shared" si="0"/>
        <v>HR Manager</v>
      </c>
      <c r="K6" s="30">
        <f t="shared" si="1"/>
        <v>14000</v>
      </c>
      <c r="L6" s="30">
        <f t="shared" si="2"/>
        <v>1029012345</v>
      </c>
    </row>
    <row r="7" spans="1:12" ht="15.6">
      <c r="A7" s="30">
        <v>25</v>
      </c>
      <c r="B7" s="30" t="s">
        <v>410</v>
      </c>
      <c r="C7" s="30" t="s">
        <v>408</v>
      </c>
      <c r="D7" s="82">
        <v>10800</v>
      </c>
      <c r="E7" s="30">
        <v>1025678901</v>
      </c>
    </row>
    <row r="8" spans="1:12" ht="15.6">
      <c r="A8" s="30">
        <v>24</v>
      </c>
      <c r="B8" s="30" t="s">
        <v>411</v>
      </c>
      <c r="C8" s="30" t="s">
        <v>406</v>
      </c>
      <c r="D8" s="82">
        <v>7500</v>
      </c>
      <c r="E8" s="30">
        <v>1024567890</v>
      </c>
    </row>
    <row r="9" spans="1:12" ht="15.6">
      <c r="A9" s="30">
        <v>23</v>
      </c>
      <c r="B9" s="30" t="s">
        <v>412</v>
      </c>
      <c r="C9" s="30" t="s">
        <v>404</v>
      </c>
      <c r="D9" s="82">
        <v>8500</v>
      </c>
      <c r="E9" s="30">
        <v>1023456789</v>
      </c>
    </row>
    <row r="10" spans="1:12" ht="15.6">
      <c r="A10" s="30">
        <v>22</v>
      </c>
      <c r="B10" s="30" t="s">
        <v>413</v>
      </c>
      <c r="C10" s="30" t="s">
        <v>408</v>
      </c>
      <c r="D10" s="82">
        <v>10000</v>
      </c>
      <c r="E10" s="30">
        <v>1022345678</v>
      </c>
    </row>
    <row r="11" spans="1:12" ht="15.6">
      <c r="A11" s="30">
        <v>21</v>
      </c>
      <c r="B11" s="30" t="s">
        <v>414</v>
      </c>
      <c r="C11" s="30" t="s">
        <v>402</v>
      </c>
      <c r="D11" s="82">
        <v>14500</v>
      </c>
      <c r="E11" s="30">
        <v>1021234567</v>
      </c>
    </row>
    <row r="12" spans="1:12" ht="15.6">
      <c r="A12" s="30">
        <v>20</v>
      </c>
      <c r="B12" s="30" t="s">
        <v>415</v>
      </c>
      <c r="C12" s="30" t="s">
        <v>406</v>
      </c>
      <c r="D12" s="82">
        <v>11500</v>
      </c>
      <c r="E12" s="30">
        <v>1020123456</v>
      </c>
    </row>
    <row r="13" spans="1:12" ht="15.6">
      <c r="A13" s="30">
        <v>19</v>
      </c>
      <c r="B13" s="30" t="s">
        <v>416</v>
      </c>
      <c r="C13" s="30" t="s">
        <v>408</v>
      </c>
      <c r="D13" s="82">
        <v>13500</v>
      </c>
      <c r="E13" s="30">
        <v>1019012345</v>
      </c>
    </row>
    <row r="14" spans="1:12" ht="15.6">
      <c r="A14" s="30">
        <v>18</v>
      </c>
      <c r="B14" s="30" t="s">
        <v>417</v>
      </c>
      <c r="C14" s="30" t="s">
        <v>402</v>
      </c>
      <c r="D14" s="82">
        <v>14000</v>
      </c>
      <c r="E14" s="30">
        <v>1018901234</v>
      </c>
      <c r="H14" s="31" t="s">
        <v>255</v>
      </c>
    </row>
    <row r="15" spans="1:12" ht="15.6">
      <c r="A15" s="30">
        <v>17</v>
      </c>
      <c r="B15" s="30" t="s">
        <v>418</v>
      </c>
      <c r="C15" s="30" t="s">
        <v>406</v>
      </c>
      <c r="D15" s="82">
        <v>15000</v>
      </c>
      <c r="E15" s="30">
        <v>1017890123</v>
      </c>
      <c r="H15" s="84" t="s">
        <v>307</v>
      </c>
      <c r="I15" s="84" t="s">
        <v>399</v>
      </c>
      <c r="J15" s="84" t="s">
        <v>304</v>
      </c>
      <c r="K15" s="84" t="s">
        <v>305</v>
      </c>
      <c r="L15" s="84" t="s">
        <v>400</v>
      </c>
    </row>
    <row r="16" spans="1:12" ht="15.6">
      <c r="A16" s="30">
        <v>16</v>
      </c>
      <c r="B16" s="30" t="s">
        <v>419</v>
      </c>
      <c r="C16" s="30" t="s">
        <v>404</v>
      </c>
      <c r="D16" s="82">
        <v>12500</v>
      </c>
      <c r="E16" s="30">
        <v>1016789012</v>
      </c>
      <c r="H16" s="30">
        <v>30</v>
      </c>
      <c r="I16" s="30" t="s">
        <v>401</v>
      </c>
      <c r="J16" s="30" t="str">
        <f>_xlfn.XLOOKUP(H16,A:A,C:C)</f>
        <v>Project Manager</v>
      </c>
      <c r="K16" s="30">
        <f>_xlfn.XLOOKUP(I16,B:B,D:D)</f>
        <v>10200</v>
      </c>
      <c r="L16" s="30">
        <f>_xlfn.XLOOKUP(J16,C:C,E:E)</f>
        <v>1030123456</v>
      </c>
    </row>
    <row r="17" spans="1:12" ht="15.6">
      <c r="A17" s="30">
        <v>15</v>
      </c>
      <c r="B17" s="30" t="s">
        <v>420</v>
      </c>
      <c r="C17" s="30" t="s">
        <v>402</v>
      </c>
      <c r="D17" s="82">
        <v>7800</v>
      </c>
      <c r="E17" s="30">
        <v>1015678901</v>
      </c>
      <c r="H17" s="30">
        <v>23</v>
      </c>
      <c r="I17" s="30" t="s">
        <v>412</v>
      </c>
      <c r="J17" s="30" t="str">
        <f t="shared" ref="J17:J20" si="3">_xlfn.XLOOKUP(H17,A:A,C:C)</f>
        <v>HR Manager</v>
      </c>
      <c r="K17" s="30">
        <f t="shared" ref="K17:K20" si="4">_xlfn.XLOOKUP(I17,B:B,D:D)</f>
        <v>8500</v>
      </c>
      <c r="L17" s="30">
        <f t="shared" ref="L17:L20" si="5">_xlfn.XLOOKUP(J17,C:C,E:E)</f>
        <v>1029012345</v>
      </c>
    </row>
    <row r="18" spans="1:12" ht="15.6">
      <c r="A18" s="30">
        <v>14</v>
      </c>
      <c r="B18" s="30" t="s">
        <v>421</v>
      </c>
      <c r="C18" s="30" t="s">
        <v>408</v>
      </c>
      <c r="D18" s="82">
        <v>9200</v>
      </c>
      <c r="E18" s="30">
        <v>1014567890</v>
      </c>
      <c r="H18" s="30">
        <v>17</v>
      </c>
      <c r="I18" s="30" t="s">
        <v>418</v>
      </c>
      <c r="J18" s="30" t="str">
        <f t="shared" si="3"/>
        <v>Software Engineer</v>
      </c>
      <c r="K18" s="30">
        <f t="shared" si="4"/>
        <v>15000</v>
      </c>
      <c r="L18" s="30">
        <f t="shared" si="5"/>
        <v>1028901234</v>
      </c>
    </row>
    <row r="19" spans="1:12" ht="15.6">
      <c r="A19" s="30">
        <v>13</v>
      </c>
      <c r="B19" s="30" t="s">
        <v>422</v>
      </c>
      <c r="C19" s="30" t="s">
        <v>406</v>
      </c>
      <c r="D19" s="82">
        <v>10500</v>
      </c>
      <c r="E19" s="30">
        <v>1013456789</v>
      </c>
      <c r="H19" s="30">
        <v>11</v>
      </c>
      <c r="I19" s="30" t="s">
        <v>424</v>
      </c>
      <c r="J19" s="30" t="str">
        <f t="shared" si="3"/>
        <v>Project Manager</v>
      </c>
      <c r="K19" s="30">
        <f t="shared" si="4"/>
        <v>11000</v>
      </c>
      <c r="L19" s="30">
        <f t="shared" si="5"/>
        <v>1030123456</v>
      </c>
    </row>
    <row r="20" spans="1:12" ht="15.6">
      <c r="A20" s="30">
        <v>12</v>
      </c>
      <c r="B20" s="30" t="s">
        <v>423</v>
      </c>
      <c r="C20" s="30" t="s">
        <v>404</v>
      </c>
      <c r="D20" s="82">
        <v>14500</v>
      </c>
      <c r="E20" s="30">
        <v>1012345678</v>
      </c>
      <c r="H20" s="30">
        <v>4</v>
      </c>
      <c r="I20" s="30" t="s">
        <v>431</v>
      </c>
      <c r="J20" s="30" t="str">
        <f t="shared" si="3"/>
        <v>HR Manager</v>
      </c>
      <c r="K20" s="30">
        <f t="shared" si="4"/>
        <v>14000</v>
      </c>
      <c r="L20" s="30">
        <f t="shared" si="5"/>
        <v>1029012345</v>
      </c>
    </row>
    <row r="21" spans="1:12" ht="15.6">
      <c r="A21" s="30">
        <v>11</v>
      </c>
      <c r="B21" s="30" t="s">
        <v>424</v>
      </c>
      <c r="C21" s="30" t="s">
        <v>402</v>
      </c>
      <c r="D21" s="82">
        <v>11000</v>
      </c>
      <c r="E21" s="30">
        <v>1011234567</v>
      </c>
    </row>
    <row r="22" spans="1:12" ht="15.6">
      <c r="A22" s="30">
        <v>10</v>
      </c>
      <c r="B22" s="30" t="s">
        <v>425</v>
      </c>
      <c r="C22" s="30" t="s">
        <v>408</v>
      </c>
      <c r="D22" s="82">
        <v>10000</v>
      </c>
      <c r="E22" s="30">
        <v>1010123456</v>
      </c>
    </row>
    <row r="23" spans="1:12" ht="15.6">
      <c r="A23" s="30">
        <v>9</v>
      </c>
      <c r="B23" s="30" t="s">
        <v>426</v>
      </c>
      <c r="C23" s="30" t="s">
        <v>406</v>
      </c>
      <c r="D23" s="82">
        <v>8500</v>
      </c>
      <c r="E23" s="30">
        <v>1009012345</v>
      </c>
    </row>
    <row r="24" spans="1:12" ht="15.6">
      <c r="A24" s="30">
        <v>8</v>
      </c>
      <c r="B24" s="30" t="s">
        <v>427</v>
      </c>
      <c r="C24" s="30" t="s">
        <v>402</v>
      </c>
      <c r="D24" s="82">
        <v>13000</v>
      </c>
      <c r="E24" s="30">
        <v>1008901234</v>
      </c>
    </row>
    <row r="25" spans="1:12" ht="15.6">
      <c r="A25" s="30">
        <v>7</v>
      </c>
      <c r="B25" s="30" t="s">
        <v>428</v>
      </c>
      <c r="C25" s="30" t="s">
        <v>404</v>
      </c>
      <c r="D25" s="82">
        <v>9500</v>
      </c>
      <c r="E25" s="30">
        <v>1007890123</v>
      </c>
    </row>
    <row r="26" spans="1:12" ht="15.6">
      <c r="A26" s="30">
        <v>6</v>
      </c>
      <c r="B26" s="30" t="s">
        <v>429</v>
      </c>
      <c r="C26" s="30" t="s">
        <v>408</v>
      </c>
      <c r="D26" s="82">
        <v>9000</v>
      </c>
      <c r="E26" s="30">
        <v>1006789012</v>
      </c>
    </row>
    <row r="27" spans="1:12" ht="15.6">
      <c r="A27" s="30">
        <v>5</v>
      </c>
      <c r="B27" s="30" t="s">
        <v>430</v>
      </c>
      <c r="C27" s="30" t="s">
        <v>406</v>
      </c>
      <c r="D27" s="82">
        <v>11000</v>
      </c>
      <c r="E27" s="30">
        <v>1005678901</v>
      </c>
    </row>
    <row r="28" spans="1:12" ht="15.6">
      <c r="A28" s="30">
        <v>4</v>
      </c>
      <c r="B28" s="30" t="s">
        <v>431</v>
      </c>
      <c r="C28" s="30" t="s">
        <v>404</v>
      </c>
      <c r="D28" s="82">
        <v>14000</v>
      </c>
      <c r="E28" s="30">
        <v>1004567890</v>
      </c>
    </row>
    <row r="29" spans="1:12" ht="15.6">
      <c r="A29" s="30">
        <v>3</v>
      </c>
      <c r="B29" s="30" t="s">
        <v>432</v>
      </c>
      <c r="C29" s="30" t="s">
        <v>408</v>
      </c>
      <c r="D29" s="82">
        <v>8000</v>
      </c>
      <c r="E29" s="30">
        <v>1003456789</v>
      </c>
    </row>
    <row r="30" spans="1:12" ht="15.6">
      <c r="A30" s="30">
        <v>2</v>
      </c>
      <c r="B30" s="30" t="s">
        <v>433</v>
      </c>
      <c r="C30" s="30" t="s">
        <v>406</v>
      </c>
      <c r="D30" s="82">
        <v>12000</v>
      </c>
      <c r="E30" s="30">
        <v>1002345678</v>
      </c>
    </row>
    <row r="31" spans="1:12" ht="15.6">
      <c r="A31" s="30">
        <v>1</v>
      </c>
      <c r="B31" s="30" t="s">
        <v>434</v>
      </c>
      <c r="C31" s="30" t="s">
        <v>402</v>
      </c>
      <c r="D31" s="82">
        <v>15000</v>
      </c>
      <c r="E31" s="30">
        <v>1001234567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3E0FC-B581-4D41-934F-D95AAAF6F37E}">
  <dimension ref="A1:P41"/>
  <sheetViews>
    <sheetView workbookViewId="0">
      <pane ySplit="1" topLeftCell="A2" activePane="bottomLeft" state="frozen"/>
      <selection pane="bottomLeft" activeCell="L15" sqref="L15:L20"/>
    </sheetView>
  </sheetViews>
  <sheetFormatPr defaultRowHeight="14.4"/>
  <cols>
    <col min="1" max="1" width="9.33203125" bestFit="1" customWidth="1"/>
    <col min="2" max="2" width="20" bestFit="1" customWidth="1"/>
    <col min="3" max="3" width="13.109375" customWidth="1"/>
    <col min="4" max="4" width="10.109375" bestFit="1" customWidth="1"/>
    <col min="5" max="5" width="10.5546875" bestFit="1" customWidth="1"/>
    <col min="8" max="12" width="14.44140625" customWidth="1"/>
    <col min="13" max="13" width="7.88671875" customWidth="1"/>
    <col min="14" max="14" width="9.33203125" customWidth="1"/>
    <col min="15" max="17" width="14.44140625" customWidth="1"/>
  </cols>
  <sheetData>
    <row r="1" spans="1:16">
      <c r="A1" s="31" t="s">
        <v>2</v>
      </c>
      <c r="B1" s="31" t="s">
        <v>3</v>
      </c>
      <c r="C1" s="31" t="s">
        <v>4</v>
      </c>
      <c r="D1" s="31" t="s">
        <v>0</v>
      </c>
      <c r="E1" s="31" t="s">
        <v>1</v>
      </c>
      <c r="F1" s="3"/>
      <c r="G1" s="3"/>
      <c r="H1" s="32" t="s">
        <v>2</v>
      </c>
      <c r="I1" s="32" t="s">
        <v>3</v>
      </c>
      <c r="J1" s="32" t="s">
        <v>4</v>
      </c>
      <c r="K1" s="32" t="s">
        <v>0</v>
      </c>
      <c r="L1" s="32" t="s">
        <v>5</v>
      </c>
      <c r="M1" s="3"/>
      <c r="N1" s="3"/>
      <c r="O1" s="33" t="s">
        <v>95</v>
      </c>
      <c r="P1" s="34" t="s">
        <v>96</v>
      </c>
    </row>
    <row r="2" spans="1:16">
      <c r="A2" s="9" t="s">
        <v>6</v>
      </c>
      <c r="B2" s="9" t="s">
        <v>7</v>
      </c>
      <c r="C2" s="9" t="s">
        <v>8</v>
      </c>
      <c r="D2" s="9">
        <v>43906</v>
      </c>
      <c r="E2" s="14">
        <f>_xlfn.XLOOKUP(D2,O:O,P:P,,-1)</f>
        <v>0.1</v>
      </c>
      <c r="F2" s="3"/>
      <c r="G2" s="3"/>
      <c r="H2" s="9" t="s">
        <v>9</v>
      </c>
      <c r="I2" s="9" t="str">
        <f>VLOOKUP(H2,A:E,2,)</f>
        <v>Algeria</v>
      </c>
      <c r="J2" s="9" t="str">
        <f>_xlfn.XLOOKUP(H2,A:A,C:C)</f>
        <v>Inv-8522011</v>
      </c>
      <c r="K2" s="9">
        <f>_xlfn.XLOOKUP(H2,A:A,D:D)</f>
        <v>21840</v>
      </c>
      <c r="L2" s="9">
        <f>_xlfn.XLOOKUP(H2,A:A,E:E)*K2</f>
        <v>873.6</v>
      </c>
      <c r="M2" s="3"/>
      <c r="N2" s="3"/>
      <c r="O2" s="35">
        <v>10000</v>
      </c>
      <c r="P2" s="14">
        <v>0.02</v>
      </c>
    </row>
    <row r="3" spans="1:16">
      <c r="A3" s="9" t="s">
        <v>10</v>
      </c>
      <c r="B3" s="9" t="s">
        <v>7</v>
      </c>
      <c r="C3" s="9" t="s">
        <v>11</v>
      </c>
      <c r="D3" s="9">
        <v>35648</v>
      </c>
      <c r="E3" s="14">
        <f t="shared" ref="E3:E41" si="0">_xlfn.XLOOKUP(D3,O:O,P:P,,-1)</f>
        <v>7.0000000000000007E-2</v>
      </c>
      <c r="F3" s="3"/>
      <c r="G3" s="3"/>
      <c r="H3" s="9" t="s">
        <v>10</v>
      </c>
      <c r="I3" s="9" t="str">
        <f t="shared" ref="I3:I7" si="1">VLOOKUP(H3,A:E,2,)</f>
        <v>Kuwait</v>
      </c>
      <c r="J3" s="9" t="str">
        <f t="shared" ref="J3:J7" si="2">_xlfn.XLOOKUP(H3,A:A,C:C)</f>
        <v>Inv-7719375</v>
      </c>
      <c r="K3" s="9">
        <f t="shared" ref="K3:K7" si="3">_xlfn.XLOOKUP(H3,A:A,D:D)</f>
        <v>35648</v>
      </c>
      <c r="L3" s="9">
        <f t="shared" ref="L3:L7" si="4">_xlfn.XLOOKUP(H3,A:A,E:E)*K3</f>
        <v>2495.36</v>
      </c>
      <c r="M3" s="3"/>
      <c r="N3" s="3"/>
      <c r="O3" s="35">
        <v>20000</v>
      </c>
      <c r="P3" s="14">
        <v>0.04</v>
      </c>
    </row>
    <row r="4" spans="1:16">
      <c r="A4" s="9" t="s">
        <v>12</v>
      </c>
      <c r="B4" s="9" t="s">
        <v>13</v>
      </c>
      <c r="C4" s="9" t="s">
        <v>14</v>
      </c>
      <c r="D4" s="9">
        <v>64421</v>
      </c>
      <c r="E4" s="14">
        <f t="shared" si="0"/>
        <v>0.18</v>
      </c>
      <c r="F4" s="3"/>
      <c r="G4" s="3"/>
      <c r="H4" s="9" t="s">
        <v>18</v>
      </c>
      <c r="I4" s="9" t="str">
        <f t="shared" si="1"/>
        <v>United Arab Emirates</v>
      </c>
      <c r="J4" s="9" t="str">
        <f t="shared" si="2"/>
        <v>Inv-5188269</v>
      </c>
      <c r="K4" s="9">
        <f t="shared" si="3"/>
        <v>52823</v>
      </c>
      <c r="L4" s="9">
        <f t="shared" si="4"/>
        <v>7923.45</v>
      </c>
      <c r="M4" s="3"/>
      <c r="N4" s="3"/>
      <c r="O4" s="35">
        <v>30000</v>
      </c>
      <c r="P4" s="14">
        <v>7.0000000000000007E-2</v>
      </c>
    </row>
    <row r="5" spans="1:16">
      <c r="A5" s="9" t="s">
        <v>15</v>
      </c>
      <c r="B5" s="9" t="s">
        <v>16</v>
      </c>
      <c r="C5" s="9" t="s">
        <v>17</v>
      </c>
      <c r="D5" s="9">
        <v>50361</v>
      </c>
      <c r="E5" s="14">
        <f t="shared" si="0"/>
        <v>0.15</v>
      </c>
      <c r="F5" s="3"/>
      <c r="G5" s="3"/>
      <c r="H5" s="9" t="s">
        <v>37</v>
      </c>
      <c r="I5" s="9" t="str">
        <f t="shared" si="1"/>
        <v>Egypt</v>
      </c>
      <c r="J5" s="9" t="str">
        <f t="shared" si="2"/>
        <v>Inv-7002952</v>
      </c>
      <c r="K5" s="9">
        <f t="shared" si="3"/>
        <v>53755</v>
      </c>
      <c r="L5" s="9">
        <f t="shared" si="4"/>
        <v>8063.25</v>
      </c>
      <c r="M5" s="3"/>
      <c r="N5" s="3"/>
      <c r="O5" s="35">
        <v>40000</v>
      </c>
      <c r="P5" s="14">
        <v>0.1</v>
      </c>
    </row>
    <row r="6" spans="1:16">
      <c r="A6" s="9" t="s">
        <v>18</v>
      </c>
      <c r="B6" s="9" t="s">
        <v>13</v>
      </c>
      <c r="C6" s="9" t="s">
        <v>19</v>
      </c>
      <c r="D6" s="9">
        <v>52823</v>
      </c>
      <c r="E6" s="14">
        <f t="shared" si="0"/>
        <v>0.15</v>
      </c>
      <c r="F6" s="3"/>
      <c r="G6" s="3"/>
      <c r="H6" s="9" t="s">
        <v>58</v>
      </c>
      <c r="I6" s="9" t="str">
        <f t="shared" si="1"/>
        <v>Iraq</v>
      </c>
      <c r="J6" s="9" t="str">
        <f t="shared" si="2"/>
        <v>Inv-5556931</v>
      </c>
      <c r="K6" s="9">
        <f t="shared" si="3"/>
        <v>35866</v>
      </c>
      <c r="L6" s="9">
        <f t="shared" si="4"/>
        <v>2510.6200000000003</v>
      </c>
      <c r="M6" s="3"/>
      <c r="N6" s="3"/>
      <c r="O6" s="35">
        <v>50000</v>
      </c>
      <c r="P6" s="14">
        <v>0.15</v>
      </c>
    </row>
    <row r="7" spans="1:16">
      <c r="A7" s="9" t="s">
        <v>20</v>
      </c>
      <c r="B7" s="9" t="s">
        <v>21</v>
      </c>
      <c r="C7" s="9" t="s">
        <v>22</v>
      </c>
      <c r="D7" s="9">
        <v>60004</v>
      </c>
      <c r="E7" s="14">
        <f t="shared" si="0"/>
        <v>0.18</v>
      </c>
      <c r="F7" s="3"/>
      <c r="G7" s="3"/>
      <c r="H7" s="9" t="s">
        <v>84</v>
      </c>
      <c r="I7" s="9" t="str">
        <f t="shared" si="1"/>
        <v>Iraq</v>
      </c>
      <c r="J7" s="9" t="str">
        <f t="shared" si="2"/>
        <v>Inv-6896050</v>
      </c>
      <c r="K7" s="9">
        <f t="shared" si="3"/>
        <v>15326</v>
      </c>
      <c r="L7" s="9">
        <f t="shared" si="4"/>
        <v>306.52</v>
      </c>
      <c r="M7" s="3"/>
      <c r="N7" s="3"/>
      <c r="O7" s="35">
        <v>60000</v>
      </c>
      <c r="P7" s="14">
        <v>0.18</v>
      </c>
    </row>
    <row r="8" spans="1:16">
      <c r="A8" s="9" t="s">
        <v>23</v>
      </c>
      <c r="B8" s="9" t="s">
        <v>16</v>
      </c>
      <c r="C8" s="9" t="s">
        <v>24</v>
      </c>
      <c r="D8" s="9">
        <v>53784</v>
      </c>
      <c r="E8" s="14">
        <f t="shared" si="0"/>
        <v>0.15</v>
      </c>
      <c r="F8" s="3"/>
      <c r="G8" s="3"/>
      <c r="H8" s="3"/>
      <c r="I8" s="3"/>
      <c r="J8" s="3"/>
      <c r="K8" s="3"/>
      <c r="L8" s="3"/>
      <c r="M8" s="3"/>
      <c r="N8" s="3"/>
      <c r="O8" s="36"/>
      <c r="P8" s="37"/>
    </row>
    <row r="9" spans="1:16">
      <c r="A9" s="9" t="s">
        <v>25</v>
      </c>
      <c r="B9" s="9" t="s">
        <v>16</v>
      </c>
      <c r="C9" s="9" t="s">
        <v>26</v>
      </c>
      <c r="D9" s="9">
        <v>32681</v>
      </c>
      <c r="E9" s="14">
        <f t="shared" si="0"/>
        <v>7.0000000000000007E-2</v>
      </c>
      <c r="F9" s="3"/>
      <c r="G9" s="3"/>
      <c r="H9" s="3"/>
      <c r="I9" s="3"/>
      <c r="J9" s="3"/>
      <c r="K9" s="3"/>
      <c r="L9" s="3"/>
      <c r="M9" s="3"/>
      <c r="N9" s="3"/>
      <c r="O9" s="36"/>
      <c r="P9" s="37"/>
    </row>
    <row r="10" spans="1:16">
      <c r="A10" s="9" t="s">
        <v>27</v>
      </c>
      <c r="B10" s="9" t="s">
        <v>7</v>
      </c>
      <c r="C10" s="9" t="s">
        <v>28</v>
      </c>
      <c r="D10" s="9">
        <v>66717</v>
      </c>
      <c r="E10" s="14">
        <f t="shared" si="0"/>
        <v>0.18</v>
      </c>
      <c r="F10" s="3"/>
      <c r="G10" s="3"/>
      <c r="H10" s="3"/>
      <c r="I10" s="3"/>
      <c r="J10" s="3"/>
      <c r="K10" s="3"/>
      <c r="L10" s="3"/>
      <c r="M10" s="3"/>
      <c r="N10" s="3"/>
      <c r="O10" s="36"/>
      <c r="P10" s="37"/>
    </row>
    <row r="11" spans="1:16">
      <c r="A11" s="9" t="s">
        <v>29</v>
      </c>
      <c r="B11" s="9" t="s">
        <v>7</v>
      </c>
      <c r="C11" s="9" t="s">
        <v>30</v>
      </c>
      <c r="D11" s="9">
        <v>12277</v>
      </c>
      <c r="E11" s="14">
        <f t="shared" si="0"/>
        <v>0.02</v>
      </c>
      <c r="F11" s="3"/>
      <c r="G11" s="3"/>
      <c r="H11" s="3"/>
      <c r="I11" s="3"/>
      <c r="J11" s="3"/>
      <c r="K11" s="3"/>
      <c r="L11" s="3"/>
      <c r="M11" s="3"/>
      <c r="N11" s="3"/>
      <c r="O11" s="36"/>
      <c r="P11" s="37"/>
    </row>
    <row r="12" spans="1:16">
      <c r="A12" s="9" t="s">
        <v>31</v>
      </c>
      <c r="B12" s="9" t="s">
        <v>32</v>
      </c>
      <c r="C12" s="9" t="s">
        <v>33</v>
      </c>
      <c r="D12" s="9">
        <v>50802</v>
      </c>
      <c r="E12" s="14">
        <f t="shared" si="0"/>
        <v>0.15</v>
      </c>
      <c r="F12" s="3"/>
      <c r="G12" s="3"/>
      <c r="H12" s="3"/>
      <c r="I12" s="3"/>
      <c r="J12" s="3"/>
      <c r="K12" s="3"/>
      <c r="L12" s="3"/>
      <c r="M12" s="3"/>
      <c r="N12" s="3"/>
      <c r="O12" s="36"/>
      <c r="P12" s="37"/>
    </row>
    <row r="13" spans="1:16">
      <c r="A13" s="9" t="s">
        <v>34</v>
      </c>
      <c r="B13" s="9" t="s">
        <v>7</v>
      </c>
      <c r="C13" s="9" t="s">
        <v>35</v>
      </c>
      <c r="D13" s="9">
        <v>20646</v>
      </c>
      <c r="E13" s="14">
        <f t="shared" si="0"/>
        <v>0.04</v>
      </c>
      <c r="F13" s="3"/>
      <c r="G13" s="3"/>
      <c r="H13" s="38" t="s">
        <v>506</v>
      </c>
      <c r="I13" s="3"/>
      <c r="J13" s="3"/>
      <c r="K13" s="3"/>
      <c r="L13" s="3"/>
      <c r="M13" s="3"/>
      <c r="N13" s="3"/>
      <c r="O13" s="36"/>
      <c r="P13" s="37"/>
    </row>
    <row r="14" spans="1:16">
      <c r="A14" s="9" t="s">
        <v>9</v>
      </c>
      <c r="B14" s="9" t="s">
        <v>32</v>
      </c>
      <c r="C14" s="9" t="s">
        <v>36</v>
      </c>
      <c r="D14" s="9">
        <v>21840</v>
      </c>
      <c r="E14" s="14">
        <f t="shared" si="0"/>
        <v>0.04</v>
      </c>
      <c r="F14" s="3"/>
      <c r="G14" s="3"/>
      <c r="H14" s="32" t="s">
        <v>2</v>
      </c>
      <c r="I14" s="32" t="s">
        <v>3</v>
      </c>
      <c r="J14" s="32" t="s">
        <v>4</v>
      </c>
      <c r="K14" s="32" t="s">
        <v>0</v>
      </c>
      <c r="L14" s="32" t="s">
        <v>5</v>
      </c>
      <c r="M14" s="3"/>
      <c r="N14" s="3"/>
      <c r="O14" s="36"/>
      <c r="P14" s="37"/>
    </row>
    <row r="15" spans="1:16">
      <c r="A15" s="9" t="s">
        <v>37</v>
      </c>
      <c r="B15" s="9" t="s">
        <v>16</v>
      </c>
      <c r="C15" s="9" t="s">
        <v>38</v>
      </c>
      <c r="D15" s="9">
        <v>53755</v>
      </c>
      <c r="E15" s="14">
        <f t="shared" si="0"/>
        <v>0.15</v>
      </c>
      <c r="F15" s="3"/>
      <c r="G15" s="3"/>
      <c r="H15" s="9" t="s">
        <v>9</v>
      </c>
      <c r="I15" s="9" t="str">
        <f>VLOOKUP(H15,A:E,2,)</f>
        <v>Algeria</v>
      </c>
      <c r="J15" s="9" t="str">
        <f>VLOOKUP(H15,A:E,3,)</f>
        <v>Inv-8522011</v>
      </c>
      <c r="K15" s="9">
        <f>VLOOKUP(J15,C:E,2,FALSE)</f>
        <v>21840</v>
      </c>
      <c r="L15" s="9">
        <f>VLOOKUP(J15,C:E,3,FALSE)*K15</f>
        <v>873.6</v>
      </c>
      <c r="M15" s="3"/>
      <c r="N15" s="3"/>
      <c r="O15" s="36"/>
      <c r="P15" s="37"/>
    </row>
    <row r="16" spans="1:16">
      <c r="A16" s="9" t="s">
        <v>39</v>
      </c>
      <c r="B16" s="9" t="s">
        <v>21</v>
      </c>
      <c r="C16" s="9" t="s">
        <v>40</v>
      </c>
      <c r="D16" s="9">
        <v>59278</v>
      </c>
      <c r="E16" s="14">
        <f t="shared" si="0"/>
        <v>0.15</v>
      </c>
      <c r="F16" s="3"/>
      <c r="G16" s="3"/>
      <c r="H16" s="9" t="s">
        <v>10</v>
      </c>
      <c r="I16" s="9" t="str">
        <f t="shared" ref="I16:I20" si="5">VLOOKUP(H16,A:E,2,)</f>
        <v>Kuwait</v>
      </c>
      <c r="J16" s="9" t="str">
        <f t="shared" ref="J16:J20" si="6">VLOOKUP(H16,A:E,3,)</f>
        <v>Inv-7719375</v>
      </c>
      <c r="K16" s="9">
        <f t="shared" ref="K16:K20" si="7">VLOOKUP(J16,C:E,2,FALSE)</f>
        <v>35648</v>
      </c>
      <c r="L16" s="9">
        <f t="shared" ref="L16:L20" si="8">VLOOKUP(J16,C:E,3,FALSE)*K16</f>
        <v>2495.36</v>
      </c>
      <c r="M16" s="3"/>
      <c r="N16" s="3"/>
      <c r="O16" s="36"/>
      <c r="P16" s="37"/>
    </row>
    <row r="17" spans="1:16">
      <c r="A17" s="9" t="s">
        <v>41</v>
      </c>
      <c r="B17" s="9" t="s">
        <v>7</v>
      </c>
      <c r="C17" s="9" t="s">
        <v>42</v>
      </c>
      <c r="D17" s="9">
        <v>64125</v>
      </c>
      <c r="E17" s="14">
        <f t="shared" si="0"/>
        <v>0.18</v>
      </c>
      <c r="F17" s="3"/>
      <c r="G17" s="3"/>
      <c r="H17" s="9" t="s">
        <v>18</v>
      </c>
      <c r="I17" s="9" t="str">
        <f t="shared" si="5"/>
        <v>United Arab Emirates</v>
      </c>
      <c r="J17" s="9" t="str">
        <f t="shared" si="6"/>
        <v>Inv-5188269</v>
      </c>
      <c r="K17" s="9">
        <f t="shared" si="7"/>
        <v>52823</v>
      </c>
      <c r="L17" s="9">
        <f t="shared" si="8"/>
        <v>7923.45</v>
      </c>
      <c r="M17" s="3"/>
      <c r="N17" s="3"/>
      <c r="O17" s="36"/>
      <c r="P17" s="37"/>
    </row>
    <row r="18" spans="1:16">
      <c r="A18" s="9" t="s">
        <v>43</v>
      </c>
      <c r="B18" s="9" t="s">
        <v>7</v>
      </c>
      <c r="C18" s="9" t="s">
        <v>44</v>
      </c>
      <c r="D18" s="9">
        <v>33780</v>
      </c>
      <c r="E18" s="14">
        <f t="shared" si="0"/>
        <v>7.0000000000000007E-2</v>
      </c>
      <c r="F18" s="3"/>
      <c r="G18" s="3"/>
      <c r="H18" s="9" t="s">
        <v>37</v>
      </c>
      <c r="I18" s="9" t="str">
        <f t="shared" si="5"/>
        <v>Egypt</v>
      </c>
      <c r="J18" s="9" t="str">
        <f t="shared" si="6"/>
        <v>Inv-7002952</v>
      </c>
      <c r="K18" s="9">
        <f t="shared" si="7"/>
        <v>53755</v>
      </c>
      <c r="L18" s="9">
        <f t="shared" si="8"/>
        <v>8063.25</v>
      </c>
      <c r="M18" s="3"/>
      <c r="N18" s="3"/>
      <c r="O18" s="36"/>
      <c r="P18" s="37"/>
    </row>
    <row r="19" spans="1:16">
      <c r="A19" s="9" t="s">
        <v>45</v>
      </c>
      <c r="B19" s="9" t="s">
        <v>7</v>
      </c>
      <c r="C19" s="9" t="s">
        <v>46</v>
      </c>
      <c r="D19" s="9">
        <v>15706</v>
      </c>
      <c r="E19" s="14">
        <f t="shared" si="0"/>
        <v>0.02</v>
      </c>
      <c r="F19" s="3"/>
      <c r="G19" s="3"/>
      <c r="H19" s="9" t="s">
        <v>58</v>
      </c>
      <c r="I19" s="9" t="str">
        <f t="shared" si="5"/>
        <v>Iraq</v>
      </c>
      <c r="J19" s="9" t="str">
        <f t="shared" si="6"/>
        <v>Inv-5556931</v>
      </c>
      <c r="K19" s="9">
        <f t="shared" si="7"/>
        <v>35866</v>
      </c>
      <c r="L19" s="9">
        <f t="shared" si="8"/>
        <v>2510.6200000000003</v>
      </c>
      <c r="M19" s="3"/>
      <c r="N19" s="3"/>
      <c r="O19" s="36"/>
      <c r="P19" s="37"/>
    </row>
    <row r="20" spans="1:16">
      <c r="A20" s="9" t="s">
        <v>47</v>
      </c>
      <c r="B20" s="9" t="s">
        <v>32</v>
      </c>
      <c r="C20" s="9" t="s">
        <v>48</v>
      </c>
      <c r="D20" s="9">
        <v>45634</v>
      </c>
      <c r="E20" s="14">
        <f t="shared" si="0"/>
        <v>0.1</v>
      </c>
      <c r="F20" s="3"/>
      <c r="G20" s="3"/>
      <c r="H20" s="9" t="s">
        <v>84</v>
      </c>
      <c r="I20" s="9" t="str">
        <f t="shared" si="5"/>
        <v>Iraq</v>
      </c>
      <c r="J20" s="9" t="str">
        <f t="shared" si="6"/>
        <v>Inv-6896050</v>
      </c>
      <c r="K20" s="9">
        <f t="shared" si="7"/>
        <v>15326</v>
      </c>
      <c r="L20" s="9">
        <f t="shared" si="8"/>
        <v>306.52</v>
      </c>
      <c r="M20" s="3"/>
      <c r="N20" s="3"/>
      <c r="O20" s="36"/>
      <c r="P20" s="37"/>
    </row>
    <row r="21" spans="1:16">
      <c r="A21" s="9" t="s">
        <v>49</v>
      </c>
      <c r="B21" s="9" t="s">
        <v>50</v>
      </c>
      <c r="C21" s="9" t="s">
        <v>51</v>
      </c>
      <c r="D21" s="9">
        <v>42431</v>
      </c>
      <c r="E21" s="14">
        <f t="shared" si="0"/>
        <v>0.1</v>
      </c>
      <c r="F21" s="3"/>
      <c r="G21" s="3"/>
      <c r="H21" s="3"/>
      <c r="I21" s="3"/>
      <c r="J21" s="3"/>
      <c r="K21" s="3"/>
      <c r="L21" s="3"/>
      <c r="M21" s="3"/>
      <c r="N21" s="3"/>
      <c r="O21" s="36"/>
      <c r="P21" s="37"/>
    </row>
    <row r="22" spans="1:16">
      <c r="A22" s="9" t="s">
        <v>52</v>
      </c>
      <c r="B22" s="9" t="s">
        <v>32</v>
      </c>
      <c r="C22" s="9" t="s">
        <v>53</v>
      </c>
      <c r="D22" s="9">
        <v>11303</v>
      </c>
      <c r="E22" s="14">
        <f t="shared" si="0"/>
        <v>0.02</v>
      </c>
      <c r="F22" s="3"/>
      <c r="G22" s="3"/>
      <c r="H22" s="3"/>
      <c r="I22" s="3"/>
      <c r="J22" s="3"/>
      <c r="K22" s="3"/>
      <c r="L22" s="3"/>
      <c r="M22" s="3"/>
      <c r="N22" s="3"/>
      <c r="O22" s="36"/>
      <c r="P22" s="37"/>
    </row>
    <row r="23" spans="1:16">
      <c r="A23" s="9" t="s">
        <v>54</v>
      </c>
      <c r="B23" s="9" t="s">
        <v>50</v>
      </c>
      <c r="C23" s="9" t="s">
        <v>55</v>
      </c>
      <c r="D23" s="9">
        <v>63609</v>
      </c>
      <c r="E23" s="14">
        <f t="shared" si="0"/>
        <v>0.18</v>
      </c>
      <c r="F23" s="3"/>
      <c r="G23" s="3"/>
      <c r="H23" s="3"/>
      <c r="I23" s="3"/>
      <c r="J23" s="3"/>
      <c r="K23" s="3"/>
      <c r="L23" s="3"/>
      <c r="M23" s="3"/>
      <c r="N23" s="3"/>
      <c r="O23" s="36"/>
      <c r="P23" s="37"/>
    </row>
    <row r="24" spans="1:16">
      <c r="A24" s="9" t="s">
        <v>56</v>
      </c>
      <c r="B24" s="9" t="s">
        <v>7</v>
      </c>
      <c r="C24" s="9" t="s">
        <v>57</v>
      </c>
      <c r="D24" s="9">
        <v>49988</v>
      </c>
      <c r="E24" s="14">
        <f t="shared" si="0"/>
        <v>0.1</v>
      </c>
      <c r="F24" s="3"/>
      <c r="G24" s="3"/>
      <c r="H24" s="3"/>
      <c r="I24" s="3"/>
      <c r="J24" s="3"/>
      <c r="K24" s="3"/>
      <c r="L24" s="3"/>
      <c r="M24" s="3"/>
      <c r="N24" s="3"/>
      <c r="O24" s="36"/>
      <c r="P24" s="37"/>
    </row>
    <row r="25" spans="1:16">
      <c r="A25" s="9" t="s">
        <v>58</v>
      </c>
      <c r="B25" s="9" t="s">
        <v>21</v>
      </c>
      <c r="C25" s="9" t="s">
        <v>59</v>
      </c>
      <c r="D25" s="9">
        <v>35866</v>
      </c>
      <c r="E25" s="14">
        <f t="shared" si="0"/>
        <v>7.0000000000000007E-2</v>
      </c>
      <c r="F25" s="3"/>
      <c r="G25" s="3"/>
      <c r="H25" s="3"/>
      <c r="I25" s="3"/>
      <c r="J25" s="3"/>
      <c r="K25" s="3"/>
      <c r="L25" s="3"/>
      <c r="M25" s="3"/>
      <c r="N25" s="3"/>
      <c r="O25" s="36"/>
      <c r="P25" s="37"/>
    </row>
    <row r="26" spans="1:16">
      <c r="A26" s="9" t="s">
        <v>60</v>
      </c>
      <c r="B26" s="9" t="s">
        <v>50</v>
      </c>
      <c r="C26" s="9" t="s">
        <v>61</v>
      </c>
      <c r="D26" s="9">
        <v>10845</v>
      </c>
      <c r="E26" s="14">
        <f t="shared" si="0"/>
        <v>0.02</v>
      </c>
      <c r="F26" s="3"/>
      <c r="G26" s="3"/>
      <c r="H26" s="3"/>
      <c r="I26" s="3"/>
      <c r="J26" s="3"/>
      <c r="K26" s="3"/>
      <c r="L26" s="3"/>
      <c r="M26" s="3"/>
      <c r="N26" s="3"/>
      <c r="O26" s="36"/>
      <c r="P26" s="37"/>
    </row>
    <row r="27" spans="1:16">
      <c r="A27" s="9" t="s">
        <v>62</v>
      </c>
      <c r="B27" s="9" t="s">
        <v>7</v>
      </c>
      <c r="C27" s="9" t="s">
        <v>63</v>
      </c>
      <c r="D27" s="9">
        <v>51762</v>
      </c>
      <c r="E27" s="14">
        <f t="shared" si="0"/>
        <v>0.15</v>
      </c>
      <c r="F27" s="3"/>
      <c r="G27" s="3"/>
      <c r="H27" s="3"/>
      <c r="I27" s="3"/>
      <c r="J27" s="3"/>
      <c r="K27" s="3"/>
      <c r="L27" s="3"/>
      <c r="M27" s="3"/>
      <c r="N27" s="3"/>
      <c r="O27" s="36"/>
      <c r="P27" s="37"/>
    </row>
    <row r="28" spans="1:16">
      <c r="A28" s="9" t="s">
        <v>64</v>
      </c>
      <c r="B28" s="9" t="s">
        <v>21</v>
      </c>
      <c r="C28" s="9" t="s">
        <v>65</v>
      </c>
      <c r="D28" s="9">
        <v>57960</v>
      </c>
      <c r="E28" s="14">
        <f t="shared" si="0"/>
        <v>0.15</v>
      </c>
      <c r="F28" s="3"/>
      <c r="G28" s="3"/>
      <c r="H28" s="3"/>
      <c r="I28" s="3"/>
      <c r="J28" s="3"/>
      <c r="K28" s="3"/>
      <c r="L28" s="3"/>
      <c r="M28" s="3"/>
      <c r="N28" s="3"/>
      <c r="O28" s="36"/>
      <c r="P28" s="37"/>
    </row>
    <row r="29" spans="1:16">
      <c r="A29" s="9" t="s">
        <v>66</v>
      </c>
      <c r="B29" s="9" t="s">
        <v>32</v>
      </c>
      <c r="C29" s="9" t="s">
        <v>67</v>
      </c>
      <c r="D29" s="9">
        <v>28913</v>
      </c>
      <c r="E29" s="14">
        <f t="shared" si="0"/>
        <v>0.04</v>
      </c>
      <c r="F29" s="3"/>
      <c r="G29" s="3"/>
      <c r="H29" s="3"/>
      <c r="I29" s="3"/>
      <c r="J29" s="3"/>
      <c r="K29" s="3"/>
      <c r="L29" s="3"/>
      <c r="M29" s="3"/>
      <c r="N29" s="3"/>
      <c r="O29" s="36"/>
      <c r="P29" s="37"/>
    </row>
    <row r="30" spans="1:16">
      <c r="A30" s="9" t="s">
        <v>68</v>
      </c>
      <c r="B30" s="9" t="s">
        <v>13</v>
      </c>
      <c r="C30" s="9" t="s">
        <v>69</v>
      </c>
      <c r="D30" s="9">
        <v>36338</v>
      </c>
      <c r="E30" s="14">
        <f t="shared" si="0"/>
        <v>7.0000000000000007E-2</v>
      </c>
      <c r="F30" s="3"/>
      <c r="G30" s="3"/>
      <c r="H30" s="3"/>
      <c r="I30" s="3"/>
      <c r="J30" s="3"/>
      <c r="K30" s="3"/>
      <c r="L30" s="3"/>
      <c r="M30" s="3"/>
      <c r="N30" s="3"/>
      <c r="O30" s="36"/>
      <c r="P30" s="37"/>
    </row>
    <row r="31" spans="1:16">
      <c r="A31" s="9" t="s">
        <v>70</v>
      </c>
      <c r="B31" s="9" t="s">
        <v>32</v>
      </c>
      <c r="C31" s="9" t="s">
        <v>71</v>
      </c>
      <c r="D31" s="9">
        <v>42026</v>
      </c>
      <c r="E31" s="14">
        <f t="shared" si="0"/>
        <v>0.1</v>
      </c>
      <c r="F31" s="3"/>
      <c r="G31" s="3"/>
      <c r="H31" s="3"/>
      <c r="I31" s="3"/>
      <c r="J31" s="3"/>
      <c r="K31" s="3"/>
      <c r="L31" s="3"/>
      <c r="M31" s="3"/>
      <c r="N31" s="3"/>
      <c r="O31" s="36"/>
      <c r="P31" s="37"/>
    </row>
    <row r="32" spans="1:16">
      <c r="A32" s="9" t="s">
        <v>72</v>
      </c>
      <c r="B32" s="9" t="s">
        <v>13</v>
      </c>
      <c r="C32" s="9" t="s">
        <v>73</v>
      </c>
      <c r="D32" s="9">
        <v>569875</v>
      </c>
      <c r="E32" s="14">
        <f t="shared" si="0"/>
        <v>0.18</v>
      </c>
      <c r="F32" s="3"/>
      <c r="G32" s="3"/>
      <c r="H32" s="3"/>
      <c r="I32" s="3"/>
      <c r="J32" s="3"/>
      <c r="K32" s="3"/>
      <c r="L32" s="3"/>
      <c r="M32" s="3"/>
      <c r="N32" s="3"/>
      <c r="O32" s="36"/>
      <c r="P32" s="37"/>
    </row>
    <row r="33" spans="1:16">
      <c r="A33" s="9" t="s">
        <v>74</v>
      </c>
      <c r="B33" s="9" t="s">
        <v>13</v>
      </c>
      <c r="C33" s="9" t="s">
        <v>75</v>
      </c>
      <c r="D33" s="9">
        <v>34742</v>
      </c>
      <c r="E33" s="14">
        <f t="shared" si="0"/>
        <v>7.0000000000000007E-2</v>
      </c>
      <c r="F33" s="3"/>
      <c r="G33" s="3"/>
      <c r="H33" s="3"/>
      <c r="I33" s="3"/>
      <c r="J33" s="3"/>
      <c r="K33" s="3"/>
      <c r="L33" s="3"/>
      <c r="M33" s="3"/>
      <c r="N33" s="3"/>
      <c r="O33" s="36"/>
      <c r="P33" s="37"/>
    </row>
    <row r="34" spans="1:16">
      <c r="A34" s="9" t="s">
        <v>76</v>
      </c>
      <c r="B34" s="9" t="s">
        <v>21</v>
      </c>
      <c r="C34" s="9" t="s">
        <v>77</v>
      </c>
      <c r="D34" s="9">
        <v>15482</v>
      </c>
      <c r="E34" s="14">
        <f t="shared" si="0"/>
        <v>0.02</v>
      </c>
      <c r="F34" s="3"/>
      <c r="G34" s="3"/>
      <c r="H34" s="3"/>
      <c r="I34" s="3"/>
      <c r="J34" s="3"/>
      <c r="K34" s="3"/>
      <c r="L34" s="3"/>
      <c r="M34" s="3"/>
      <c r="N34" s="3"/>
      <c r="O34" s="36"/>
      <c r="P34" s="37"/>
    </row>
    <row r="35" spans="1:16">
      <c r="A35" s="9" t="s">
        <v>78</v>
      </c>
      <c r="B35" s="9" t="s">
        <v>50</v>
      </c>
      <c r="C35" s="9" t="s">
        <v>79</v>
      </c>
      <c r="D35" s="9">
        <v>37095</v>
      </c>
      <c r="E35" s="14">
        <f t="shared" si="0"/>
        <v>7.0000000000000007E-2</v>
      </c>
      <c r="F35" s="3"/>
      <c r="G35" s="3"/>
      <c r="H35" s="3"/>
      <c r="I35" s="3"/>
      <c r="J35" s="3"/>
      <c r="K35" s="3"/>
      <c r="L35" s="3"/>
      <c r="M35" s="3"/>
      <c r="N35" s="3"/>
      <c r="O35" s="36"/>
      <c r="P35" s="37"/>
    </row>
    <row r="36" spans="1:16">
      <c r="A36" s="9" t="s">
        <v>80</v>
      </c>
      <c r="B36" s="9" t="s">
        <v>13</v>
      </c>
      <c r="C36" s="9" t="s">
        <v>81</v>
      </c>
      <c r="D36" s="9">
        <v>64460</v>
      </c>
      <c r="E36" s="14">
        <f t="shared" si="0"/>
        <v>0.18</v>
      </c>
      <c r="F36" s="3"/>
      <c r="G36" s="3"/>
      <c r="H36" s="3"/>
      <c r="I36" s="3"/>
      <c r="J36" s="3"/>
      <c r="K36" s="3"/>
      <c r="L36" s="3"/>
      <c r="M36" s="3"/>
      <c r="N36" s="3"/>
      <c r="O36" s="36"/>
      <c r="P36" s="37"/>
    </row>
    <row r="37" spans="1:16">
      <c r="A37" s="9" t="s">
        <v>82</v>
      </c>
      <c r="B37" s="9" t="s">
        <v>7</v>
      </c>
      <c r="C37" s="9" t="s">
        <v>83</v>
      </c>
      <c r="D37" s="9">
        <v>27741</v>
      </c>
      <c r="E37" s="14">
        <f t="shared" si="0"/>
        <v>0.04</v>
      </c>
      <c r="F37" s="3"/>
      <c r="G37" s="3"/>
      <c r="H37" s="3"/>
      <c r="I37" s="3"/>
      <c r="J37" s="3"/>
      <c r="K37" s="3"/>
      <c r="L37" s="3"/>
      <c r="M37" s="3"/>
      <c r="N37" s="3"/>
      <c r="O37" s="36"/>
      <c r="P37" s="37"/>
    </row>
    <row r="38" spans="1:16">
      <c r="A38" s="9" t="s">
        <v>84</v>
      </c>
      <c r="B38" s="9" t="s">
        <v>21</v>
      </c>
      <c r="C38" s="9" t="s">
        <v>85</v>
      </c>
      <c r="D38" s="9">
        <v>15326</v>
      </c>
      <c r="E38" s="14">
        <f t="shared" si="0"/>
        <v>0.02</v>
      </c>
      <c r="F38" s="3"/>
      <c r="G38" s="3"/>
      <c r="H38" s="3"/>
      <c r="I38" s="3"/>
      <c r="J38" s="3"/>
      <c r="K38" s="3"/>
      <c r="L38" s="3"/>
      <c r="M38" s="3"/>
      <c r="N38" s="3"/>
      <c r="O38" s="36"/>
      <c r="P38" s="37"/>
    </row>
    <row r="39" spans="1:16">
      <c r="A39" s="9" t="s">
        <v>86</v>
      </c>
      <c r="B39" s="9" t="s">
        <v>21</v>
      </c>
      <c r="C39" s="9" t="s">
        <v>87</v>
      </c>
      <c r="D39" s="9">
        <v>39609</v>
      </c>
      <c r="E39" s="14">
        <f t="shared" si="0"/>
        <v>7.0000000000000007E-2</v>
      </c>
      <c r="F39" s="3"/>
      <c r="G39" s="3"/>
      <c r="H39" s="3"/>
      <c r="I39" s="3"/>
      <c r="J39" s="3"/>
      <c r="K39" s="3"/>
      <c r="L39" s="3"/>
      <c r="M39" s="3"/>
      <c r="N39" s="3"/>
      <c r="O39" s="36"/>
      <c r="P39" s="37"/>
    </row>
    <row r="40" spans="1:16">
      <c r="A40" s="9" t="s">
        <v>88</v>
      </c>
      <c r="B40" s="9" t="s">
        <v>13</v>
      </c>
      <c r="C40" s="9" t="s">
        <v>89</v>
      </c>
      <c r="D40" s="9">
        <v>19483</v>
      </c>
      <c r="E40" s="14">
        <f t="shared" si="0"/>
        <v>0.02</v>
      </c>
      <c r="F40" s="3"/>
      <c r="G40" s="3"/>
      <c r="H40" s="3"/>
      <c r="I40" s="3"/>
      <c r="J40" s="3"/>
      <c r="K40" s="3"/>
      <c r="L40" s="3"/>
      <c r="M40" s="3"/>
      <c r="N40" s="3"/>
      <c r="O40" s="36"/>
      <c r="P40" s="37"/>
    </row>
    <row r="41" spans="1:16">
      <c r="A41" s="9" t="s">
        <v>90</v>
      </c>
      <c r="B41" s="9" t="s">
        <v>21</v>
      </c>
      <c r="C41" s="9" t="s">
        <v>91</v>
      </c>
      <c r="D41" s="9">
        <v>42898</v>
      </c>
      <c r="E41" s="14">
        <f t="shared" si="0"/>
        <v>0.1</v>
      </c>
      <c r="F41" s="3"/>
      <c r="G41" s="3"/>
      <c r="H41" s="3"/>
      <c r="I41" s="3"/>
      <c r="J41" s="3"/>
      <c r="K41" s="3"/>
      <c r="L41" s="3"/>
      <c r="M41" s="3"/>
      <c r="N41" s="3"/>
      <c r="O41" s="36"/>
      <c r="P41" s="3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1BED0-BE58-4F5E-B0AC-359CF206EB32}">
  <dimension ref="A1:A89"/>
  <sheetViews>
    <sheetView workbookViewId="0"/>
  </sheetViews>
  <sheetFormatPr defaultColWidth="9.33203125" defaultRowHeight="14.4"/>
  <cols>
    <col min="1" max="1" width="91.33203125" bestFit="1" customWidth="1"/>
  </cols>
  <sheetData>
    <row r="1" spans="1:1" ht="18">
      <c r="A1" s="23" t="s">
        <v>189</v>
      </c>
    </row>
    <row r="3" spans="1:1">
      <c r="A3" s="25" t="s">
        <v>190</v>
      </c>
    </row>
    <row r="5" spans="1:1">
      <c r="A5" s="26" t="s">
        <v>191</v>
      </c>
    </row>
    <row r="7" spans="1:1">
      <c r="A7" t="s">
        <v>192</v>
      </c>
    </row>
    <row r="8" spans="1:1">
      <c r="A8" t="s">
        <v>193</v>
      </c>
    </row>
    <row r="10" spans="1:1" ht="18">
      <c r="A10" s="23" t="s">
        <v>194</v>
      </c>
    </row>
    <row r="12" spans="1:1">
      <c r="A12" s="25" t="s">
        <v>195</v>
      </c>
    </row>
    <row r="14" spans="1:1">
      <c r="A14" s="26" t="s">
        <v>191</v>
      </c>
    </row>
    <row r="16" spans="1:1">
      <c r="A16" t="s">
        <v>196</v>
      </c>
    </row>
    <row r="17" spans="1:1">
      <c r="A17" t="s">
        <v>197</v>
      </c>
    </row>
    <row r="19" spans="1:1" ht="18">
      <c r="A19" s="23" t="s">
        <v>198</v>
      </c>
    </row>
    <row r="21" spans="1:1">
      <c r="A21" s="25" t="s">
        <v>199</v>
      </c>
    </row>
    <row r="23" spans="1:1">
      <c r="A23" s="26" t="s">
        <v>191</v>
      </c>
    </row>
    <row r="25" spans="1:1">
      <c r="A25" t="s">
        <v>200</v>
      </c>
    </row>
    <row r="26" spans="1:1">
      <c r="A26" t="s">
        <v>201</v>
      </c>
    </row>
    <row r="28" spans="1:1" ht="18">
      <c r="A28" s="23" t="s">
        <v>202</v>
      </c>
    </row>
    <row r="30" spans="1:1">
      <c r="A30" s="25" t="s">
        <v>203</v>
      </c>
    </row>
    <row r="32" spans="1:1">
      <c r="A32" s="26" t="s">
        <v>191</v>
      </c>
    </row>
    <row r="34" spans="1:1">
      <c r="A34" t="s">
        <v>204</v>
      </c>
    </row>
    <row r="35" spans="1:1">
      <c r="A35" t="s">
        <v>205</v>
      </c>
    </row>
    <row r="37" spans="1:1" ht="18">
      <c r="A37" s="23" t="s">
        <v>206</v>
      </c>
    </row>
    <row r="39" spans="1:1">
      <c r="A39" s="25" t="s">
        <v>207</v>
      </c>
    </row>
    <row r="41" spans="1:1">
      <c r="A41" s="26" t="s">
        <v>191</v>
      </c>
    </row>
    <row r="43" spans="1:1">
      <c r="A43" t="s">
        <v>208</v>
      </c>
    </row>
    <row r="44" spans="1:1">
      <c r="A44" t="s">
        <v>209</v>
      </c>
    </row>
    <row r="46" spans="1:1" ht="18">
      <c r="A46" s="23" t="s">
        <v>210</v>
      </c>
    </row>
    <row r="48" spans="1:1">
      <c r="A48" s="25" t="s">
        <v>211</v>
      </c>
    </row>
    <row r="50" spans="1:1">
      <c r="A50" s="26" t="s">
        <v>191</v>
      </c>
    </row>
    <row r="52" spans="1:1">
      <c r="A52" t="s">
        <v>212</v>
      </c>
    </row>
    <row r="53" spans="1:1">
      <c r="A53" t="s">
        <v>193</v>
      </c>
    </row>
    <row r="55" spans="1:1" ht="18">
      <c r="A55" s="23" t="s">
        <v>213</v>
      </c>
    </row>
    <row r="57" spans="1:1">
      <c r="A57" s="25" t="s">
        <v>214</v>
      </c>
    </row>
    <row r="59" spans="1:1">
      <c r="A59" s="26" t="s">
        <v>191</v>
      </c>
    </row>
    <row r="61" spans="1:1">
      <c r="A61" t="s">
        <v>215</v>
      </c>
    </row>
    <row r="62" spans="1:1">
      <c r="A62" t="s">
        <v>216</v>
      </c>
    </row>
    <row r="64" spans="1:1" ht="18">
      <c r="A64" s="23" t="s">
        <v>217</v>
      </c>
    </row>
    <row r="66" spans="1:1">
      <c r="A66" s="25" t="s">
        <v>218</v>
      </c>
    </row>
    <row r="68" spans="1:1">
      <c r="A68" s="26" t="s">
        <v>191</v>
      </c>
    </row>
    <row r="70" spans="1:1">
      <c r="A70" t="s">
        <v>219</v>
      </c>
    </row>
    <row r="71" spans="1:1">
      <c r="A71" t="s">
        <v>220</v>
      </c>
    </row>
    <row r="73" spans="1:1" ht="18">
      <c r="A73" s="23" t="s">
        <v>221</v>
      </c>
    </row>
    <row r="75" spans="1:1">
      <c r="A75" s="25" t="s">
        <v>222</v>
      </c>
    </row>
    <row r="77" spans="1:1">
      <c r="A77" s="26" t="s">
        <v>191</v>
      </c>
    </row>
    <row r="79" spans="1:1">
      <c r="A79" t="s">
        <v>223</v>
      </c>
    </row>
    <row r="80" spans="1:1">
      <c r="A80" t="s">
        <v>224</v>
      </c>
    </row>
    <row r="82" spans="1:1" ht="18">
      <c r="A82" s="23" t="s">
        <v>225</v>
      </c>
    </row>
    <row r="84" spans="1:1">
      <c r="A84" s="25" t="s">
        <v>226</v>
      </c>
    </row>
    <row r="86" spans="1:1">
      <c r="A86" s="26" t="s">
        <v>191</v>
      </c>
    </row>
    <row r="88" spans="1:1">
      <c r="A88" t="s">
        <v>227</v>
      </c>
    </row>
    <row r="89" spans="1:1">
      <c r="A89" t="s">
        <v>228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17749-042D-4730-94B4-6390D6407341}">
  <dimension ref="A1:D39"/>
  <sheetViews>
    <sheetView topLeftCell="A3" workbookViewId="0">
      <selection activeCell="G16" sqref="G16"/>
    </sheetView>
  </sheetViews>
  <sheetFormatPr defaultRowHeight="14.4"/>
  <cols>
    <col min="1" max="1" width="114.5546875" bestFit="1" customWidth="1"/>
  </cols>
  <sheetData>
    <row r="1" spans="1:4" ht="18">
      <c r="A1" s="23" t="s">
        <v>229</v>
      </c>
    </row>
    <row r="2" spans="1:4">
      <c r="A2" s="24" t="s">
        <v>230</v>
      </c>
    </row>
    <row r="4" spans="1:4">
      <c r="A4" s="26" t="s">
        <v>191</v>
      </c>
    </row>
    <row r="6" spans="1:4">
      <c r="A6" t="s">
        <v>231</v>
      </c>
      <c r="D6" s="110">
        <f ca="1">TODAY()</f>
        <v>46237</v>
      </c>
    </row>
    <row r="7" spans="1:4">
      <c r="A7" t="s">
        <v>232</v>
      </c>
    </row>
    <row r="8" spans="1:4">
      <c r="D8">
        <f ca="1">YEAR(D6)</f>
        <v>2026</v>
      </c>
    </row>
    <row r="9" spans="1:4" ht="18">
      <c r="A9" s="23" t="s">
        <v>233</v>
      </c>
    </row>
    <row r="10" spans="1:4">
      <c r="A10" s="24" t="s">
        <v>234</v>
      </c>
    </row>
    <row r="12" spans="1:4">
      <c r="A12" s="26" t="s">
        <v>191</v>
      </c>
    </row>
    <row r="14" spans="1:4">
      <c r="A14" t="s">
        <v>235</v>
      </c>
    </row>
    <row r="15" spans="1:4">
      <c r="A15" t="s">
        <v>236</v>
      </c>
    </row>
    <row r="17" spans="1:4" ht="18">
      <c r="A17" s="23" t="s">
        <v>237</v>
      </c>
      <c r="D17" t="str">
        <f ca="1">TEXT(D6,"ddd-mmm-yyy")</f>
        <v>Mon-Aug-2026</v>
      </c>
    </row>
    <row r="18" spans="1:4">
      <c r="A18" s="24" t="s">
        <v>238</v>
      </c>
    </row>
    <row r="20" spans="1:4">
      <c r="A20" s="26" t="s">
        <v>191</v>
      </c>
    </row>
    <row r="22" spans="1:4">
      <c r="A22" t="s">
        <v>239</v>
      </c>
    </row>
    <row r="23" spans="1:4">
      <c r="A23" t="s">
        <v>240</v>
      </c>
    </row>
    <row r="25" spans="1:4" ht="18">
      <c r="A25" s="23" t="s">
        <v>241</v>
      </c>
    </row>
    <row r="26" spans="1:4">
      <c r="A26" s="24" t="s">
        <v>242</v>
      </c>
    </row>
    <row r="28" spans="1:4">
      <c r="A28" s="26" t="s">
        <v>191</v>
      </c>
    </row>
    <row r="30" spans="1:4">
      <c r="A30" t="s">
        <v>243</v>
      </c>
    </row>
    <row r="31" spans="1:4">
      <c r="A31" t="s">
        <v>244</v>
      </c>
    </row>
    <row r="33" spans="1:1" ht="18">
      <c r="A33" s="23" t="s">
        <v>245</v>
      </c>
    </row>
    <row r="34" spans="1:1">
      <c r="A34" s="24" t="s">
        <v>246</v>
      </c>
    </row>
    <row r="36" spans="1:1">
      <c r="A36" s="26" t="s">
        <v>191</v>
      </c>
    </row>
    <row r="38" spans="1:1">
      <c r="A38" t="s">
        <v>247</v>
      </c>
    </row>
    <row r="39" spans="1:1">
      <c r="A39" t="s">
        <v>248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272A1-904D-491D-B203-4CC7F7DDC6F4}">
  <dimension ref="A1:N14"/>
  <sheetViews>
    <sheetView zoomScale="90" zoomScaleNormal="90" workbookViewId="0">
      <selection activeCell="K10" sqref="K10"/>
    </sheetView>
  </sheetViews>
  <sheetFormatPr defaultColWidth="9.109375" defaultRowHeight="14.4"/>
  <cols>
    <col min="2" max="6" width="13" customWidth="1"/>
    <col min="7" max="7" width="41.44140625" customWidth="1"/>
  </cols>
  <sheetData>
    <row r="1" spans="1:14" s="27" customFormat="1" ht="18">
      <c r="A1" s="20"/>
      <c r="B1" s="20"/>
      <c r="C1" s="20"/>
      <c r="D1" s="20"/>
      <c r="E1" s="20"/>
      <c r="F1" s="20"/>
      <c r="G1"/>
      <c r="H1" s="20"/>
      <c r="I1" s="20"/>
    </row>
    <row r="2" spans="1:14" s="27" customFormat="1" ht="18">
      <c r="A2" s="20"/>
      <c r="B2" s="79" t="s">
        <v>249</v>
      </c>
      <c r="C2" s="79" t="s">
        <v>250</v>
      </c>
      <c r="D2" s="79" t="s">
        <v>251</v>
      </c>
      <c r="E2" s="79" t="s">
        <v>252</v>
      </c>
      <c r="F2" s="79" t="s">
        <v>253</v>
      </c>
      <c r="G2"/>
      <c r="H2" s="20"/>
      <c r="I2" s="20"/>
      <c r="N2"/>
    </row>
    <row r="3" spans="1:14" s="27" customFormat="1" ht="79.5" customHeight="1">
      <c r="A3" s="20"/>
      <c r="B3" s="28" t="s">
        <v>254</v>
      </c>
      <c r="C3" s="29">
        <v>10000</v>
      </c>
      <c r="D3" s="29">
        <v>30000</v>
      </c>
      <c r="E3" s="29">
        <v>4000</v>
      </c>
      <c r="F3" s="29">
        <v>-2000</v>
      </c>
      <c r="G3"/>
      <c r="H3" s="20"/>
      <c r="I3" s="20"/>
    </row>
    <row r="4" spans="1:14" s="27" customFormat="1" ht="79.5" customHeight="1">
      <c r="A4" s="20"/>
      <c r="B4" s="28" t="s">
        <v>254</v>
      </c>
      <c r="C4" s="29">
        <v>20584</v>
      </c>
      <c r="D4" s="29">
        <v>39153</v>
      </c>
      <c r="E4" s="29">
        <v>25861</v>
      </c>
      <c r="F4" s="29">
        <v>20939</v>
      </c>
      <c r="G4"/>
      <c r="H4" s="20"/>
      <c r="I4" s="20"/>
    </row>
    <row r="5" spans="1:14" s="27" customFormat="1" ht="79.5" customHeight="1">
      <c r="A5" s="20"/>
      <c r="B5" s="28" t="s">
        <v>254</v>
      </c>
      <c r="C5" s="29">
        <v>21310</v>
      </c>
      <c r="D5" s="29">
        <v>19247</v>
      </c>
      <c r="E5" s="29">
        <v>12686</v>
      </c>
      <c r="F5" s="29">
        <v>-1000</v>
      </c>
      <c r="G5"/>
      <c r="H5" s="20"/>
      <c r="I5" s="20"/>
    </row>
    <row r="6" spans="1:14" s="27" customFormat="1" ht="79.5" customHeight="1">
      <c r="A6" s="20"/>
      <c r="B6" s="28" t="s">
        <v>254</v>
      </c>
      <c r="C6" s="29">
        <v>36780</v>
      </c>
      <c r="D6" s="29">
        <v>34661</v>
      </c>
      <c r="E6" s="29">
        <v>17163</v>
      </c>
      <c r="F6" s="29">
        <v>27603</v>
      </c>
      <c r="G6"/>
      <c r="H6" s="20"/>
      <c r="I6" s="20"/>
    </row>
    <row r="7" spans="1:14" s="27" customFormat="1" ht="79.5" customHeight="1">
      <c r="A7" s="20"/>
      <c r="B7" s="28" t="s">
        <v>254</v>
      </c>
      <c r="C7" s="29">
        <v>11622</v>
      </c>
      <c r="D7" s="29">
        <v>19830</v>
      </c>
      <c r="E7" s="29">
        <v>21090</v>
      </c>
      <c r="F7" s="29">
        <v>39502</v>
      </c>
      <c r="G7"/>
      <c r="H7" s="20"/>
      <c r="I7" s="20"/>
    </row>
    <row r="8" spans="1:14" s="27" customFormat="1" ht="18">
      <c r="A8" s="20"/>
      <c r="B8" s="20"/>
      <c r="C8" s="20"/>
      <c r="D8" s="20"/>
      <c r="E8" s="20"/>
      <c r="F8" s="20"/>
      <c r="G8"/>
      <c r="H8" s="20"/>
      <c r="I8" s="20"/>
    </row>
    <row r="9" spans="1:14" s="27" customFormat="1" ht="18">
      <c r="A9" s="20"/>
      <c r="B9" s="20"/>
      <c r="C9" s="20"/>
      <c r="D9" s="20"/>
      <c r="E9" s="20"/>
      <c r="F9" s="20"/>
      <c r="G9"/>
      <c r="H9" s="20"/>
      <c r="I9" s="20"/>
    </row>
    <row r="10" spans="1:14" s="27" customFormat="1" ht="18">
      <c r="A10" s="20"/>
      <c r="B10" s="20"/>
      <c r="C10" s="20"/>
      <c r="D10" s="20"/>
      <c r="E10" s="20"/>
      <c r="F10" s="20"/>
      <c r="G10"/>
      <c r="H10" s="20"/>
      <c r="I10" s="20"/>
    </row>
    <row r="11" spans="1:14" s="27" customFormat="1" ht="18">
      <c r="A11" s="20"/>
      <c r="B11" s="20"/>
      <c r="C11" s="20"/>
      <c r="D11" s="20"/>
      <c r="E11" s="20"/>
      <c r="F11" s="20"/>
      <c r="G11"/>
      <c r="H11" s="20"/>
      <c r="I11" s="20"/>
    </row>
    <row r="12" spans="1:14" s="27" customFormat="1" ht="18">
      <c r="A12" s="20"/>
      <c r="B12" s="20"/>
      <c r="C12" s="20"/>
      <c r="D12" s="20"/>
      <c r="E12" s="20"/>
      <c r="F12" s="20"/>
      <c r="G12"/>
      <c r="H12" s="20"/>
      <c r="I12" s="20"/>
    </row>
    <row r="13" spans="1:14" s="27" customFormat="1" ht="18">
      <c r="A13" s="20"/>
      <c r="B13" s="20"/>
      <c r="C13" s="20"/>
      <c r="D13" s="20"/>
      <c r="E13" s="20"/>
      <c r="F13" s="20"/>
      <c r="G13"/>
      <c r="H13" s="20"/>
      <c r="I13" s="20"/>
    </row>
    <row r="14" spans="1:14" s="27" customFormat="1" ht="18">
      <c r="A14" s="20"/>
      <c r="B14" s="20"/>
      <c r="C14" s="20"/>
      <c r="D14" s="20"/>
      <c r="E14" s="20"/>
      <c r="F14" s="20"/>
      <c r="G14"/>
      <c r="H14" s="20"/>
      <c r="I14" s="20"/>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5B20F-05F4-4F37-82E1-16B31F0987D8}">
  <dimension ref="A1:P82"/>
  <sheetViews>
    <sheetView tabSelected="1" topLeftCell="F39" zoomScale="90" zoomScaleNormal="90" workbookViewId="0">
      <selection activeCell="K48" sqref="K48:M52"/>
    </sheetView>
  </sheetViews>
  <sheetFormatPr defaultColWidth="9.109375" defaultRowHeight="21"/>
  <cols>
    <col min="1" max="1" width="38.109375" style="53" bestFit="1" customWidth="1"/>
    <col min="2" max="2" width="16.109375" style="54" bestFit="1" customWidth="1"/>
    <col min="3" max="3" width="36.109375" style="55" customWidth="1"/>
    <col min="4" max="4" width="39.44140625" style="53" bestFit="1" customWidth="1"/>
    <col min="5" max="6" width="27.33203125" style="53" bestFit="1" customWidth="1"/>
    <col min="7" max="7" width="19.88671875" style="53" customWidth="1"/>
    <col min="8" max="8" width="32.44140625" style="53" bestFit="1" customWidth="1"/>
    <col min="9" max="9" width="29.33203125" style="55" customWidth="1"/>
    <col min="10" max="13" width="29.33203125" style="53" customWidth="1"/>
    <col min="14" max="14" width="9.109375" style="53"/>
    <col min="15" max="15" width="15.44140625" style="53" bestFit="1" customWidth="1"/>
    <col min="16" max="16" width="14.77734375" style="53" bestFit="1" customWidth="1"/>
    <col min="17" max="16384" width="9.109375" style="53"/>
  </cols>
  <sheetData>
    <row r="1" spans="1:6">
      <c r="A1" s="146" t="s">
        <v>392</v>
      </c>
      <c r="B1" s="146"/>
      <c r="C1" s="146"/>
      <c r="D1" s="146"/>
      <c r="E1" s="146"/>
      <c r="F1" s="146"/>
    </row>
    <row r="2" spans="1:6">
      <c r="A2" s="146"/>
      <c r="B2" s="146"/>
      <c r="C2" s="146"/>
      <c r="D2" s="146"/>
      <c r="E2" s="146"/>
      <c r="F2" s="146"/>
    </row>
    <row r="3" spans="1:6">
      <c r="A3" s="146"/>
      <c r="B3" s="146"/>
      <c r="C3" s="146"/>
      <c r="D3" s="146"/>
      <c r="E3" s="146"/>
      <c r="F3" s="146"/>
    </row>
    <row r="4" spans="1:6">
      <c r="A4" s="146"/>
      <c r="B4" s="146"/>
      <c r="C4" s="146"/>
      <c r="D4" s="146"/>
      <c r="E4" s="146"/>
      <c r="F4" s="146"/>
    </row>
    <row r="5" spans="1:6">
      <c r="A5" s="146"/>
      <c r="B5" s="146"/>
      <c r="C5" s="146"/>
      <c r="D5" s="146"/>
      <c r="E5" s="146"/>
      <c r="F5" s="146"/>
    </row>
    <row r="6" spans="1:6">
      <c r="A6" s="146"/>
      <c r="B6" s="146"/>
      <c r="C6" s="146"/>
      <c r="D6" s="146"/>
      <c r="E6" s="146"/>
      <c r="F6" s="146"/>
    </row>
    <row r="7" spans="1:6">
      <c r="A7" s="146"/>
      <c r="B7" s="146"/>
      <c r="C7" s="146"/>
      <c r="D7" s="146"/>
      <c r="E7" s="146"/>
      <c r="F7" s="146"/>
    </row>
    <row r="8" spans="1:6">
      <c r="A8" s="146"/>
      <c r="B8" s="146"/>
      <c r="C8" s="146"/>
      <c r="D8" s="146"/>
      <c r="E8" s="146"/>
      <c r="F8" s="146"/>
    </row>
    <row r="10" spans="1:6">
      <c r="A10" s="53" t="s">
        <v>393</v>
      </c>
      <c r="C10" s="55" t="s">
        <v>394</v>
      </c>
    </row>
    <row r="13" spans="1:6">
      <c r="A13" s="53" t="s">
        <v>395</v>
      </c>
      <c r="C13" s="149" t="s">
        <v>396</v>
      </c>
    </row>
    <row r="18" spans="1:16">
      <c r="A18" s="76"/>
      <c r="B18" s="77"/>
      <c r="C18" s="78"/>
      <c r="D18" s="76"/>
      <c r="E18" s="76"/>
      <c r="F18" s="76"/>
      <c r="G18" s="76"/>
      <c r="H18" s="76"/>
      <c r="I18" s="78"/>
      <c r="J18" s="76"/>
      <c r="K18" s="76"/>
    </row>
    <row r="23" spans="1:16">
      <c r="A23" s="150" t="s">
        <v>508</v>
      </c>
      <c r="J23" s="150" t="s">
        <v>507</v>
      </c>
      <c r="K23" s="54"/>
      <c r="L23" s="55"/>
    </row>
    <row r="24" spans="1:16">
      <c r="A24" s="50" t="s">
        <v>283</v>
      </c>
      <c r="B24" s="51" t="s">
        <v>257</v>
      </c>
      <c r="C24" s="52" t="s">
        <v>284</v>
      </c>
      <c r="F24" s="147" t="s">
        <v>285</v>
      </c>
      <c r="G24" s="148"/>
      <c r="J24" s="50" t="s">
        <v>283</v>
      </c>
      <c r="K24" s="51" t="s">
        <v>257</v>
      </c>
      <c r="L24" s="52" t="s">
        <v>284</v>
      </c>
      <c r="O24" s="147" t="s">
        <v>285</v>
      </c>
      <c r="P24" s="148"/>
    </row>
    <row r="25" spans="1:16">
      <c r="A25" s="53" t="s">
        <v>286</v>
      </c>
      <c r="B25" s="54">
        <v>274</v>
      </c>
      <c r="C25" s="55" t="str" cm="1">
        <f t="array" ref="C25">_xlfn.IFS(B25&lt;150,$F$28,AND(B25&gt;=150,B25&lt;200),$F$27,AND(B25&gt;=200,B25&lt;250),$F$26,B25&gt;249,$F$25)</f>
        <v xml:space="preserve">Excellent </v>
      </c>
      <c r="F25" s="56" t="s">
        <v>287</v>
      </c>
      <c r="G25" s="57" t="s">
        <v>288</v>
      </c>
      <c r="J25" s="53" t="s">
        <v>286</v>
      </c>
      <c r="K25" s="54">
        <v>274</v>
      </c>
      <c r="L25" s="55" t="str">
        <f>IF(K25&lt;150,$O$28,IF(AND(K25&gt;=150,K25&lt;200),$O$27,IF(AND(K25&gt;=200,K25&lt;250),$O$26,$O$25)))</f>
        <v xml:space="preserve">Excellent </v>
      </c>
      <c r="O25" s="56" t="s">
        <v>287</v>
      </c>
      <c r="P25" s="57" t="s">
        <v>288</v>
      </c>
    </row>
    <row r="26" spans="1:16">
      <c r="A26" s="53" t="s">
        <v>289</v>
      </c>
      <c r="B26" s="54">
        <v>280</v>
      </c>
      <c r="C26" s="55" t="str" cm="1">
        <f t="array" ref="C26">_xlfn.IFS(B26&lt;150,$F$28,AND(B26&gt;=150,B26&lt;200),$F$27,AND(B26&gt;=200,B26&lt;250),$F$26,B26&gt;249,$F$25)</f>
        <v xml:space="preserve">Excellent </v>
      </c>
      <c r="F26" s="56" t="s">
        <v>94</v>
      </c>
      <c r="G26" s="57" t="s">
        <v>290</v>
      </c>
      <c r="J26" s="53" t="s">
        <v>289</v>
      </c>
      <c r="K26" s="54">
        <v>280</v>
      </c>
      <c r="L26" s="55" t="str">
        <f t="shared" ref="L26:L33" si="0">IF(K26&lt;150,$O$28,IF(AND(K26&gt;=150,K26&lt;200),$O$27,IF(AND(K26&gt;=200,K26&lt;250),$O$26,$O$25)))</f>
        <v xml:space="preserve">Excellent </v>
      </c>
      <c r="O26" s="56" t="s">
        <v>94</v>
      </c>
      <c r="P26" s="57" t="s">
        <v>290</v>
      </c>
    </row>
    <row r="27" spans="1:16">
      <c r="A27" s="53" t="s">
        <v>291</v>
      </c>
      <c r="B27" s="54">
        <v>170</v>
      </c>
      <c r="C27" s="55" t="str" cm="1">
        <f t="array" ref="C27">_xlfn.IFS(B27&lt;150,$F$28,AND(B27&gt;=150,B27&lt;200),$F$27,AND(B27&gt;=200,B27&lt;250),$F$26,B27&gt;249,$F$25)</f>
        <v>Satisfactory</v>
      </c>
      <c r="F27" s="56" t="s">
        <v>292</v>
      </c>
      <c r="G27" s="57" t="s">
        <v>293</v>
      </c>
      <c r="J27" s="53" t="s">
        <v>291</v>
      </c>
      <c r="K27" s="54">
        <v>170</v>
      </c>
      <c r="L27" s="55" t="str">
        <f t="shared" si="0"/>
        <v>Satisfactory</v>
      </c>
      <c r="O27" s="56" t="s">
        <v>292</v>
      </c>
      <c r="P27" s="57" t="s">
        <v>293</v>
      </c>
    </row>
    <row r="28" spans="1:16">
      <c r="A28" s="53" t="s">
        <v>294</v>
      </c>
      <c r="B28" s="54">
        <v>237</v>
      </c>
      <c r="C28" s="55" t="str" cm="1">
        <f t="array" ref="C28">_xlfn.IFS(B28&lt;150,$F$28,AND(B28&gt;=150,B28&lt;200),$F$27,AND(B28&gt;=200,B28&lt;250),$F$26,B28&gt;249,$F$25)</f>
        <v>Good</v>
      </c>
      <c r="F28" s="58" t="s">
        <v>295</v>
      </c>
      <c r="G28" s="59" t="s">
        <v>296</v>
      </c>
      <c r="J28" s="53" t="s">
        <v>294</v>
      </c>
      <c r="K28" s="54">
        <v>237</v>
      </c>
      <c r="L28" s="55" t="str">
        <f t="shared" si="0"/>
        <v>Good</v>
      </c>
      <c r="O28" s="58" t="s">
        <v>295</v>
      </c>
      <c r="P28" s="59" t="s">
        <v>296</v>
      </c>
    </row>
    <row r="29" spans="1:16">
      <c r="A29" s="53" t="s">
        <v>297</v>
      </c>
      <c r="B29" s="54">
        <v>210</v>
      </c>
      <c r="C29" s="55" t="str" cm="1">
        <f t="array" ref="C29">_xlfn.IFS(B29&lt;150,$F$28,AND(B29&gt;=150,B29&lt;200),$F$27,AND(B29&gt;=200,B29&lt;250),$F$26,B29&gt;249,$F$25)</f>
        <v>Good</v>
      </c>
      <c r="J29" s="53" t="s">
        <v>297</v>
      </c>
      <c r="K29" s="54">
        <v>210</v>
      </c>
      <c r="L29" s="55" t="str">
        <f t="shared" si="0"/>
        <v>Good</v>
      </c>
    </row>
    <row r="30" spans="1:16">
      <c r="A30" s="53" t="s">
        <v>278</v>
      </c>
      <c r="B30" s="54">
        <v>186</v>
      </c>
      <c r="C30" s="55" t="str" cm="1">
        <f t="array" ref="C30">_xlfn.IFS(B30&lt;150,$F$28,AND(B30&gt;=150,B30&lt;200),$F$27,AND(B30&gt;=200,B30&lt;250),$F$26,B30&gt;249,$F$25)</f>
        <v>Satisfactory</v>
      </c>
      <c r="J30" s="53" t="s">
        <v>278</v>
      </c>
      <c r="K30" s="54">
        <v>186</v>
      </c>
      <c r="L30" s="55" t="str">
        <f t="shared" si="0"/>
        <v>Satisfactory</v>
      </c>
    </row>
    <row r="31" spans="1:16">
      <c r="A31" s="53" t="s">
        <v>298</v>
      </c>
      <c r="B31" s="54">
        <v>240</v>
      </c>
      <c r="C31" s="55" t="str" cm="1">
        <f t="array" ref="C31">_xlfn.IFS(B31&lt;150,$F$28,AND(B31&gt;=150,B31&lt;200),$F$27,AND(B31&gt;=200,B31&lt;250),$F$26,B31&gt;249,$F$25)</f>
        <v>Good</v>
      </c>
      <c r="J31" s="53" t="s">
        <v>298</v>
      </c>
      <c r="K31" s="54">
        <v>240</v>
      </c>
      <c r="L31" s="55" t="str">
        <f t="shared" si="0"/>
        <v>Good</v>
      </c>
    </row>
    <row r="32" spans="1:16">
      <c r="A32" s="53" t="s">
        <v>299</v>
      </c>
      <c r="B32" s="54">
        <v>146</v>
      </c>
      <c r="C32" s="55" t="str" cm="1">
        <f t="array" ref="C32">_xlfn.IFS(B32&lt;150,$F$28,AND(B32&gt;=150,B32&lt;200),$F$27,AND(B32&gt;=200,B32&lt;250),$F$26,B32&gt;249,$F$25)</f>
        <v>Poor</v>
      </c>
      <c r="J32" s="53" t="s">
        <v>299</v>
      </c>
      <c r="K32" s="54">
        <v>146</v>
      </c>
      <c r="L32" s="55" t="str">
        <f t="shared" si="0"/>
        <v>Poor</v>
      </c>
    </row>
    <row r="33" spans="1:13">
      <c r="A33" s="53" t="s">
        <v>300</v>
      </c>
      <c r="B33" s="54">
        <v>287</v>
      </c>
      <c r="C33" s="55" t="str" cm="1">
        <f t="array" ref="C33">_xlfn.IFS(B33&lt;150,$F$28,AND(B33&gt;=150,B33&lt;200),$F$27,AND(B33&gt;=200,B33&lt;250),$F$26,B33&gt;249,$F$25)</f>
        <v xml:space="preserve">Excellent </v>
      </c>
      <c r="J33" s="53" t="s">
        <v>300</v>
      </c>
      <c r="K33" s="54">
        <v>287</v>
      </c>
      <c r="L33" s="55" t="str">
        <f t="shared" si="0"/>
        <v xml:space="preserve">Excellent </v>
      </c>
    </row>
    <row r="34" spans="1:13">
      <c r="K34" s="54"/>
      <c r="L34" s="55"/>
    </row>
    <row r="35" spans="1:13">
      <c r="K35" s="54"/>
      <c r="L35" s="55"/>
    </row>
    <row r="45" spans="1:13">
      <c r="A45" s="76"/>
      <c r="B45" s="77"/>
      <c r="C45" s="78"/>
      <c r="D45" s="76"/>
      <c r="E45" s="76"/>
      <c r="F45" s="76"/>
      <c r="G45" s="76"/>
      <c r="H45" s="76"/>
      <c r="I45" s="78"/>
      <c r="J45" s="76"/>
      <c r="K45" s="76"/>
    </row>
    <row r="47" spans="1:13">
      <c r="A47" s="60" t="s">
        <v>269</v>
      </c>
      <c r="B47" s="60" t="s">
        <v>301</v>
      </c>
      <c r="C47" s="60" t="s">
        <v>302</v>
      </c>
      <c r="D47" s="60" t="s">
        <v>303</v>
      </c>
      <c r="E47" s="60" t="s">
        <v>304</v>
      </c>
      <c r="F47" s="60" t="s">
        <v>305</v>
      </c>
      <c r="G47" s="61" t="s">
        <v>306</v>
      </c>
      <c r="I47" s="62" t="s">
        <v>307</v>
      </c>
      <c r="J47" s="62" t="s">
        <v>303</v>
      </c>
      <c r="K47" s="62" t="s">
        <v>304</v>
      </c>
      <c r="L47" s="62" t="s">
        <v>305</v>
      </c>
      <c r="M47" s="62" t="s">
        <v>306</v>
      </c>
    </row>
    <row r="48" spans="1:13">
      <c r="A48" s="63" t="s">
        <v>308</v>
      </c>
      <c r="B48" s="63" t="s">
        <v>309</v>
      </c>
      <c r="C48" s="63" t="s">
        <v>310</v>
      </c>
      <c r="D48" s="64">
        <v>43994</v>
      </c>
      <c r="E48" s="63" t="s">
        <v>311</v>
      </c>
      <c r="F48" s="65">
        <v>51300</v>
      </c>
      <c r="G48" s="66">
        <v>26</v>
      </c>
      <c r="I48" s="67" t="s">
        <v>312</v>
      </c>
      <c r="J48" s="151">
        <f>_xlfn.XLOOKUP(I48,B48:B82,D48:D82)</f>
        <v>44416</v>
      </c>
      <c r="K48" s="152" t="str" cm="1">
        <f t="array" ref="K48:M48">_xlfn.XLOOKUP(I48,B48:B82,E48:G82)</f>
        <v>Quality Control</v>
      </c>
      <c r="L48" s="152">
        <v>41500</v>
      </c>
      <c r="M48" s="152">
        <v>32.299999999999997</v>
      </c>
    </row>
    <row r="49" spans="1:13">
      <c r="A49" s="68" t="s">
        <v>313</v>
      </c>
      <c r="B49" s="68" t="s">
        <v>314</v>
      </c>
      <c r="C49" s="68" t="s">
        <v>315</v>
      </c>
      <c r="D49" s="69">
        <v>44245</v>
      </c>
      <c r="E49" s="68" t="s">
        <v>316</v>
      </c>
      <c r="F49" s="70">
        <v>38300</v>
      </c>
      <c r="G49" s="71">
        <v>32.700000000000003</v>
      </c>
      <c r="I49" s="67" t="s">
        <v>317</v>
      </c>
      <c r="J49" s="151">
        <f t="shared" ref="J49:J52" si="1">_xlfn.XLOOKUP(I49,B49:B83,D49:D83)</f>
        <v>45072</v>
      </c>
      <c r="K49" s="152" t="str" cm="1">
        <f t="array" ref="K49:M49">_xlfn.XLOOKUP(I49,B49:B83,E49:G83)</f>
        <v>Production Operator</v>
      </c>
      <c r="L49" s="152">
        <v>35900</v>
      </c>
      <c r="M49" s="152">
        <v>29.9</v>
      </c>
    </row>
    <row r="50" spans="1:13">
      <c r="A50" s="63" t="s">
        <v>318</v>
      </c>
      <c r="B50" s="63" t="s">
        <v>319</v>
      </c>
      <c r="C50" s="63" t="s">
        <v>320</v>
      </c>
      <c r="D50" s="64">
        <v>44809</v>
      </c>
      <c r="E50" s="63" t="s">
        <v>321</v>
      </c>
      <c r="F50" s="65">
        <v>31400</v>
      </c>
      <c r="G50" s="66">
        <v>34.299999999999997</v>
      </c>
      <c r="I50" s="67" t="s">
        <v>322</v>
      </c>
      <c r="J50" s="151">
        <f t="shared" si="1"/>
        <v>43198</v>
      </c>
      <c r="K50" s="152" t="str" cm="1">
        <f t="array" ref="K50:M50">_xlfn.XLOOKUP(I50,B50:B84,E50:G84)</f>
        <v>Research Scientist</v>
      </c>
      <c r="L50" s="152">
        <v>77300</v>
      </c>
      <c r="M50" s="152">
        <v>30.3</v>
      </c>
    </row>
    <row r="51" spans="1:13">
      <c r="A51" s="68" t="s">
        <v>323</v>
      </c>
      <c r="B51" s="68" t="s">
        <v>324</v>
      </c>
      <c r="C51" s="68" t="s">
        <v>310</v>
      </c>
      <c r="D51" s="69">
        <v>43789</v>
      </c>
      <c r="E51" s="68" t="s">
        <v>325</v>
      </c>
      <c r="F51" s="70">
        <v>60700</v>
      </c>
      <c r="G51" s="71">
        <v>29.6</v>
      </c>
      <c r="I51" s="67" t="s">
        <v>326</v>
      </c>
      <c r="J51" s="151">
        <f t="shared" si="1"/>
        <v>43641</v>
      </c>
      <c r="K51" s="152" t="str" cm="1">
        <f t="array" ref="K51:M51">_xlfn.XLOOKUP(I51,B51:B85,E51:G85)</f>
        <v>Product Manager</v>
      </c>
      <c r="L51" s="152">
        <v>82900</v>
      </c>
      <c r="M51" s="152">
        <v>31.1</v>
      </c>
    </row>
    <row r="52" spans="1:13">
      <c r="A52" s="63" t="s">
        <v>327</v>
      </c>
      <c r="B52" s="63" t="s">
        <v>322</v>
      </c>
      <c r="C52" s="63" t="s">
        <v>328</v>
      </c>
      <c r="D52" s="64">
        <v>43198</v>
      </c>
      <c r="E52" s="63" t="s">
        <v>329</v>
      </c>
      <c r="F52" s="65">
        <v>77300</v>
      </c>
      <c r="G52" s="66">
        <v>30.3</v>
      </c>
      <c r="I52" s="67" t="s">
        <v>330</v>
      </c>
      <c r="J52" s="151">
        <f t="shared" si="1"/>
        <v>44969</v>
      </c>
      <c r="K52" s="152" t="str" cm="1">
        <f t="array" ref="K52:M52">_xlfn.XLOOKUP(I52,B52:B86,E52:G86)</f>
        <v>Packaging Associate</v>
      </c>
      <c r="L52" s="152">
        <v>32500</v>
      </c>
      <c r="M52" s="152">
        <v>63.7</v>
      </c>
    </row>
    <row r="53" spans="1:13">
      <c r="A53" s="68" t="s">
        <v>331</v>
      </c>
      <c r="B53" s="68" t="s">
        <v>332</v>
      </c>
      <c r="C53" s="68" t="s">
        <v>310</v>
      </c>
      <c r="D53" s="69">
        <v>44999</v>
      </c>
      <c r="E53" s="68" t="s">
        <v>333</v>
      </c>
      <c r="F53" s="70">
        <v>49800</v>
      </c>
      <c r="G53" s="71">
        <v>37.700000000000003</v>
      </c>
    </row>
    <row r="54" spans="1:13">
      <c r="A54" s="63" t="s">
        <v>334</v>
      </c>
      <c r="B54" s="63" t="s">
        <v>335</v>
      </c>
      <c r="C54" s="63" t="s">
        <v>320</v>
      </c>
      <c r="D54" s="64">
        <v>44563</v>
      </c>
      <c r="E54" s="63" t="s">
        <v>316</v>
      </c>
      <c r="F54" s="65">
        <v>33000</v>
      </c>
      <c r="G54" s="66">
        <v>31.8</v>
      </c>
    </row>
    <row r="55" spans="1:13">
      <c r="A55" s="68" t="s">
        <v>336</v>
      </c>
      <c r="B55" s="68" t="s">
        <v>337</v>
      </c>
      <c r="C55" s="68" t="s">
        <v>315</v>
      </c>
      <c r="D55" s="69">
        <v>44031</v>
      </c>
      <c r="E55" s="68" t="s">
        <v>338</v>
      </c>
      <c r="F55" s="70">
        <v>41900</v>
      </c>
      <c r="G55" s="71">
        <v>35.9</v>
      </c>
    </row>
    <row r="56" spans="1:13">
      <c r="A56" s="63" t="s">
        <v>339</v>
      </c>
      <c r="B56" s="63" t="s">
        <v>340</v>
      </c>
      <c r="C56" s="63" t="s">
        <v>310</v>
      </c>
      <c r="D56" s="64">
        <v>44510</v>
      </c>
      <c r="E56" s="63" t="s">
        <v>341</v>
      </c>
      <c r="F56" s="65">
        <v>58100</v>
      </c>
      <c r="G56" s="66">
        <v>31</v>
      </c>
    </row>
    <row r="57" spans="1:13">
      <c r="A57" s="68" t="s">
        <v>342</v>
      </c>
      <c r="B57" s="68" t="s">
        <v>326</v>
      </c>
      <c r="C57" s="68" t="s">
        <v>328</v>
      </c>
      <c r="D57" s="69">
        <v>43641</v>
      </c>
      <c r="E57" s="68" t="s">
        <v>343</v>
      </c>
      <c r="F57" s="70">
        <v>82900</v>
      </c>
      <c r="G57" s="71">
        <v>31.1</v>
      </c>
    </row>
    <row r="58" spans="1:13">
      <c r="A58" s="63" t="s">
        <v>344</v>
      </c>
      <c r="B58" s="63" t="s">
        <v>345</v>
      </c>
      <c r="C58" s="63" t="s">
        <v>320</v>
      </c>
      <c r="D58" s="64">
        <v>44777</v>
      </c>
      <c r="E58" s="63" t="s">
        <v>321</v>
      </c>
      <c r="F58" s="65">
        <v>28900</v>
      </c>
      <c r="G58" s="66">
        <v>30.3</v>
      </c>
    </row>
    <row r="59" spans="1:13">
      <c r="A59" s="68" t="s">
        <v>346</v>
      </c>
      <c r="B59" s="68" t="s">
        <v>347</v>
      </c>
      <c r="C59" s="68" t="s">
        <v>315</v>
      </c>
      <c r="D59" s="69">
        <v>43878</v>
      </c>
      <c r="E59" s="68" t="s">
        <v>316</v>
      </c>
      <c r="F59" s="70">
        <v>37300</v>
      </c>
      <c r="G59" s="71">
        <v>35</v>
      </c>
    </row>
    <row r="60" spans="1:13">
      <c r="A60" s="63" t="s">
        <v>348</v>
      </c>
      <c r="B60" s="63" t="s">
        <v>349</v>
      </c>
      <c r="C60" s="63" t="s">
        <v>310</v>
      </c>
      <c r="D60" s="64">
        <v>44499</v>
      </c>
      <c r="E60" s="63" t="s">
        <v>311</v>
      </c>
      <c r="F60" s="65">
        <v>52700</v>
      </c>
      <c r="G60" s="66">
        <v>28.5</v>
      </c>
    </row>
    <row r="61" spans="1:13">
      <c r="A61" s="68" t="s">
        <v>350</v>
      </c>
      <c r="B61" s="68" t="s">
        <v>351</v>
      </c>
      <c r="C61" s="68" t="s">
        <v>328</v>
      </c>
      <c r="D61" s="69">
        <v>43355</v>
      </c>
      <c r="E61" s="68" t="s">
        <v>352</v>
      </c>
      <c r="F61" s="70">
        <v>74700</v>
      </c>
      <c r="G61" s="71">
        <v>52.4</v>
      </c>
    </row>
    <row r="62" spans="1:13">
      <c r="A62" s="63" t="s">
        <v>353</v>
      </c>
      <c r="B62" s="63" t="s">
        <v>354</v>
      </c>
      <c r="C62" s="63" t="s">
        <v>310</v>
      </c>
      <c r="D62" s="64">
        <v>43529</v>
      </c>
      <c r="E62" s="63" t="s">
        <v>341</v>
      </c>
      <c r="F62" s="65">
        <v>55600</v>
      </c>
      <c r="G62" s="66">
        <v>35.4</v>
      </c>
    </row>
    <row r="63" spans="1:13">
      <c r="A63" s="68" t="s">
        <v>355</v>
      </c>
      <c r="B63" s="68" t="s">
        <v>356</v>
      </c>
      <c r="C63" s="68" t="s">
        <v>320</v>
      </c>
      <c r="D63" s="69">
        <v>44702</v>
      </c>
      <c r="E63" s="68" t="s">
        <v>321</v>
      </c>
      <c r="F63" s="70">
        <v>32900</v>
      </c>
      <c r="G63" s="71">
        <v>29.8</v>
      </c>
    </row>
    <row r="64" spans="1:13">
      <c r="A64" s="63" t="s">
        <v>357</v>
      </c>
      <c r="B64" s="63" t="s">
        <v>312</v>
      </c>
      <c r="C64" s="63" t="s">
        <v>315</v>
      </c>
      <c r="D64" s="64">
        <v>44416</v>
      </c>
      <c r="E64" s="63" t="s">
        <v>338</v>
      </c>
      <c r="F64" s="65">
        <v>41500</v>
      </c>
      <c r="G64" s="66">
        <v>32.299999999999997</v>
      </c>
    </row>
    <row r="65" spans="1:7">
      <c r="A65" s="68" t="s">
        <v>358</v>
      </c>
      <c r="B65" s="68" t="s">
        <v>359</v>
      </c>
      <c r="C65" s="68" t="s">
        <v>310</v>
      </c>
      <c r="D65" s="69">
        <v>44158</v>
      </c>
      <c r="E65" s="68" t="s">
        <v>333</v>
      </c>
      <c r="F65" s="70">
        <v>49400</v>
      </c>
      <c r="G65" s="71">
        <v>31.1</v>
      </c>
    </row>
    <row r="66" spans="1:7">
      <c r="A66" s="63" t="s">
        <v>360</v>
      </c>
      <c r="B66" s="63" t="s">
        <v>361</v>
      </c>
      <c r="C66" s="63" t="s">
        <v>328</v>
      </c>
      <c r="D66" s="64">
        <v>42931</v>
      </c>
      <c r="E66" s="63" t="s">
        <v>343</v>
      </c>
      <c r="F66" s="65">
        <v>82700</v>
      </c>
      <c r="G66" s="66">
        <v>33.5</v>
      </c>
    </row>
    <row r="67" spans="1:7">
      <c r="A67" s="68" t="s">
        <v>362</v>
      </c>
      <c r="B67" s="68" t="s">
        <v>363</v>
      </c>
      <c r="C67" s="68" t="s">
        <v>320</v>
      </c>
      <c r="D67" s="69">
        <v>44650</v>
      </c>
      <c r="E67" s="68" t="s">
        <v>316</v>
      </c>
      <c r="F67" s="70">
        <v>38200</v>
      </c>
      <c r="G67" s="71">
        <v>31.1</v>
      </c>
    </row>
    <row r="68" spans="1:7">
      <c r="A68" s="63" t="s">
        <v>364</v>
      </c>
      <c r="B68" s="63" t="s">
        <v>365</v>
      </c>
      <c r="C68" s="63" t="s">
        <v>315</v>
      </c>
      <c r="D68" s="64">
        <v>43712</v>
      </c>
      <c r="E68" s="63" t="s">
        <v>321</v>
      </c>
      <c r="F68" s="65">
        <v>32600</v>
      </c>
      <c r="G68" s="66">
        <v>31.5</v>
      </c>
    </row>
    <row r="69" spans="1:7">
      <c r="A69" s="68" t="s">
        <v>366</v>
      </c>
      <c r="B69" s="68" t="s">
        <v>367</v>
      </c>
      <c r="C69" s="68" t="s">
        <v>310</v>
      </c>
      <c r="D69" s="69">
        <v>43270</v>
      </c>
      <c r="E69" s="68" t="s">
        <v>329</v>
      </c>
      <c r="F69" s="70">
        <v>76800</v>
      </c>
      <c r="G69" s="71">
        <v>32.700000000000003</v>
      </c>
    </row>
    <row r="70" spans="1:7">
      <c r="A70" s="63" t="s">
        <v>368</v>
      </c>
      <c r="B70" s="63" t="s">
        <v>369</v>
      </c>
      <c r="C70" s="63" t="s">
        <v>328</v>
      </c>
      <c r="D70" s="64">
        <v>44203</v>
      </c>
      <c r="E70" s="63" t="s">
        <v>325</v>
      </c>
      <c r="F70" s="65">
        <v>62300</v>
      </c>
      <c r="G70" s="66">
        <v>33.799999999999997</v>
      </c>
    </row>
    <row r="71" spans="1:7">
      <c r="A71" s="68" t="s">
        <v>370</v>
      </c>
      <c r="B71" s="68" t="s">
        <v>371</v>
      </c>
      <c r="C71" s="68" t="s">
        <v>310</v>
      </c>
      <c r="D71" s="69">
        <v>44068</v>
      </c>
      <c r="E71" s="68" t="s">
        <v>333</v>
      </c>
      <c r="F71" s="70">
        <v>46200</v>
      </c>
      <c r="G71" s="71">
        <v>30.1</v>
      </c>
    </row>
    <row r="72" spans="1:7">
      <c r="A72" s="63" t="s">
        <v>372</v>
      </c>
      <c r="B72" s="63" t="s">
        <v>330</v>
      </c>
      <c r="C72" s="63" t="s">
        <v>320</v>
      </c>
      <c r="D72" s="64">
        <v>44969</v>
      </c>
      <c r="E72" s="63" t="s">
        <v>321</v>
      </c>
      <c r="F72" s="65">
        <v>32500</v>
      </c>
      <c r="G72" s="66">
        <v>63.7</v>
      </c>
    </row>
    <row r="73" spans="1:7">
      <c r="A73" s="68" t="s">
        <v>373</v>
      </c>
      <c r="B73" s="68" t="s">
        <v>374</v>
      </c>
      <c r="C73" s="68" t="s">
        <v>315</v>
      </c>
      <c r="D73" s="69">
        <v>44866</v>
      </c>
      <c r="E73" s="68" t="s">
        <v>338</v>
      </c>
      <c r="F73" s="70">
        <v>43100</v>
      </c>
      <c r="G73" s="71">
        <v>33.799999999999997</v>
      </c>
    </row>
    <row r="74" spans="1:7">
      <c r="A74" s="63" t="s">
        <v>375</v>
      </c>
      <c r="B74" s="63" t="s">
        <v>376</v>
      </c>
      <c r="C74" s="63" t="s">
        <v>310</v>
      </c>
      <c r="D74" s="64">
        <v>43571</v>
      </c>
      <c r="E74" s="63" t="s">
        <v>341</v>
      </c>
      <c r="F74" s="65">
        <v>60000</v>
      </c>
      <c r="G74" s="66">
        <v>28.8</v>
      </c>
    </row>
    <row r="75" spans="1:7">
      <c r="A75" s="68" t="s">
        <v>377</v>
      </c>
      <c r="B75" s="68" t="s">
        <v>378</v>
      </c>
      <c r="C75" s="68" t="s">
        <v>328</v>
      </c>
      <c r="D75" s="69">
        <v>43382</v>
      </c>
      <c r="E75" s="68" t="s">
        <v>343</v>
      </c>
      <c r="F75" s="70">
        <v>82100</v>
      </c>
      <c r="G75" s="71">
        <v>32.700000000000003</v>
      </c>
    </row>
    <row r="76" spans="1:7">
      <c r="A76" s="63" t="s">
        <v>379</v>
      </c>
      <c r="B76" s="63" t="s">
        <v>317</v>
      </c>
      <c r="C76" s="63" t="s">
        <v>320</v>
      </c>
      <c r="D76" s="64">
        <v>45072</v>
      </c>
      <c r="E76" s="63" t="s">
        <v>316</v>
      </c>
      <c r="F76" s="65">
        <v>35900</v>
      </c>
      <c r="G76" s="66">
        <v>29.9</v>
      </c>
    </row>
    <row r="77" spans="1:7">
      <c r="A77" s="68" t="s">
        <v>380</v>
      </c>
      <c r="B77" s="68" t="s">
        <v>381</v>
      </c>
      <c r="C77" s="68" t="s">
        <v>315</v>
      </c>
      <c r="D77" s="69">
        <v>43843</v>
      </c>
      <c r="E77" s="68" t="s">
        <v>321</v>
      </c>
      <c r="F77" s="70">
        <v>31100</v>
      </c>
      <c r="G77" s="71">
        <v>27</v>
      </c>
    </row>
    <row r="78" spans="1:7">
      <c r="A78" s="63" t="s">
        <v>382</v>
      </c>
      <c r="B78" s="63" t="s">
        <v>383</v>
      </c>
      <c r="C78" s="63" t="s">
        <v>310</v>
      </c>
      <c r="D78" s="64">
        <v>43308</v>
      </c>
      <c r="E78" s="63" t="s">
        <v>352</v>
      </c>
      <c r="F78" s="65">
        <v>74200</v>
      </c>
      <c r="G78" s="66">
        <v>30.6</v>
      </c>
    </row>
    <row r="79" spans="1:7">
      <c r="A79" s="68" t="s">
        <v>384</v>
      </c>
      <c r="B79" s="68" t="s">
        <v>385</v>
      </c>
      <c r="C79" s="68" t="s">
        <v>328</v>
      </c>
      <c r="D79" s="69">
        <v>43538</v>
      </c>
      <c r="E79" s="68" t="s">
        <v>341</v>
      </c>
      <c r="F79" s="70">
        <v>57100</v>
      </c>
      <c r="G79" s="71">
        <v>28.7</v>
      </c>
    </row>
    <row r="80" spans="1:7">
      <c r="A80" s="63" t="s">
        <v>386</v>
      </c>
      <c r="B80" s="63" t="s">
        <v>387</v>
      </c>
      <c r="C80" s="63" t="s">
        <v>320</v>
      </c>
      <c r="D80" s="64">
        <v>44832</v>
      </c>
      <c r="E80" s="63" t="s">
        <v>321</v>
      </c>
      <c r="F80" s="65">
        <v>35200</v>
      </c>
      <c r="G80" s="66">
        <v>33.700000000000003</v>
      </c>
    </row>
    <row r="81" spans="1:7">
      <c r="A81" s="68" t="s">
        <v>388</v>
      </c>
      <c r="B81" s="68" t="s">
        <v>389</v>
      </c>
      <c r="C81" s="68" t="s">
        <v>315</v>
      </c>
      <c r="D81" s="69">
        <v>44297</v>
      </c>
      <c r="E81" s="68" t="s">
        <v>338</v>
      </c>
      <c r="F81" s="70">
        <v>42800</v>
      </c>
      <c r="G81" s="71">
        <v>31.2</v>
      </c>
    </row>
    <row r="82" spans="1:7">
      <c r="A82" s="72" t="s">
        <v>390</v>
      </c>
      <c r="B82" s="72" t="s">
        <v>391</v>
      </c>
      <c r="C82" s="72" t="s">
        <v>310</v>
      </c>
      <c r="D82" s="73">
        <v>43856</v>
      </c>
      <c r="E82" s="72" t="s">
        <v>333</v>
      </c>
      <c r="F82" s="74">
        <v>46900</v>
      </c>
      <c r="G82" s="75">
        <v>34.9</v>
      </c>
    </row>
  </sheetData>
  <mergeCells count="3">
    <mergeCell ref="A1:F8"/>
    <mergeCell ref="F24:G24"/>
    <mergeCell ref="O24:P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Sheet1</vt:lpstr>
      <vt:lpstr>Intro IF</vt:lpstr>
      <vt:lpstr>Simple IF &amp; OR &amp; AND</vt:lpstr>
      <vt:lpstr>IF Complex - 1</vt:lpstr>
      <vt:lpstr>IF Complex - 2</vt:lpstr>
      <vt:lpstr>IFs</vt:lpstr>
      <vt:lpstr>Intro Vlookup</vt:lpstr>
      <vt:lpstr>V-lookup &amp; Xlookup</vt:lpstr>
      <vt:lpstr>V-lookup &amp; Xlookup 2</vt:lpstr>
      <vt:lpstr>Text Functions</vt:lpstr>
      <vt:lpstr>Date and Time Functions</vt:lpstr>
      <vt:lpstr>Sparklines</vt:lpstr>
      <vt:lpstr>Practice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Tahseen</dc:creator>
  <cp:lastModifiedBy>David Dawoud</cp:lastModifiedBy>
  <dcterms:created xsi:type="dcterms:W3CDTF">2024-06-07T10:19:02Z</dcterms:created>
  <dcterms:modified xsi:type="dcterms:W3CDTF">2026-08-03T09:19:22Z</dcterms:modified>
</cp:coreProperties>
</file>
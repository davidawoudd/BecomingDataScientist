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BecomingDataScientist\NTI advanced data analytics\excel\"/>
    </mc:Choice>
  </mc:AlternateContent>
  <xr:revisionPtr revIDLastSave="0" documentId="13_ncr:1_{F1F9CF1D-02F0-4BAB-8732-3D26E98CCBC8}" xr6:coauthVersionLast="47" xr6:coauthVersionMax="47" xr10:uidLastSave="{00000000-0000-0000-0000-000000000000}"/>
  <bookViews>
    <workbookView xWindow="-108" yWindow="-108" windowWidth="23256" windowHeight="12456" firstSheet="4" activeTab="11" xr2:uid="{6BE5F55B-FE43-4374-82E7-CDC2B71837AF}"/>
  </bookViews>
  <sheets>
    <sheet name="Intro" sheetId="8" r:id="rId1"/>
    <sheet name="Intro (Home Tab)" sheetId="5" r:id="rId2"/>
    <sheet name="Conditional Formatting" sheetId="6" r:id="rId3"/>
    <sheet name="Basic Aggregation" sheetId="3" r:id="rId4"/>
    <sheet name="SumIF" sheetId="1" r:id="rId5"/>
    <sheet name="SumIFs" sheetId="14" r:id="rId6"/>
    <sheet name="Countif" sheetId="4" r:id="rId7"/>
    <sheet name="Countifs" sheetId="15" r:id="rId8"/>
    <sheet name="Dynamic Ranges" sheetId="17" r:id="rId9"/>
    <sheet name="Data Validation" sheetId="18" r:id="rId10"/>
    <sheet name="Summary" sheetId="7" r:id="rId11"/>
    <sheet name="Practice" sheetId="19" r:id="rId12"/>
  </sheets>
  <definedNames>
    <definedName name="_xlnm._FilterDatabase" localSheetId="3" hidden="1">'Basic Aggregation'!$W$1:$W$20</definedName>
    <definedName name="_xlnm._FilterDatabase" localSheetId="6" hidden="1">Countif!$A$1:$E$20</definedName>
    <definedName name="_xlnm._FilterDatabase" localSheetId="7" hidden="1">Countifs!$E$3:$F$13</definedName>
    <definedName name="_xlnm._FilterDatabase" localSheetId="9" hidden="1">'Data Validation'!$A$1:$A$23</definedName>
    <definedName name="_xlnm._FilterDatabase" localSheetId="11" hidden="1">Practice!$O$2:$T$12</definedName>
    <definedName name="_xlnm._FilterDatabase" localSheetId="5" hidden="1">SumIFs!$A$1:$E$101</definedName>
    <definedName name="ee" localSheetId="9" hidden="1">{"FirstQ",#N/A,FALSE,"Budget2000";"SecondQ",#N/A,FALSE,"Budget2000";"Summary",#N/A,FALSE,"Budget2000"}</definedName>
    <definedName name="ee" hidden="1">{"FirstQ",#N/A,FALSE,"Budget2000";"SecondQ",#N/A,FALSE,"Budget2000";"Summary",#N/A,FALSE,"Budget2000"}</definedName>
    <definedName name="k" localSheetId="9" hidden="1">{"FirstQ",#N/A,FALSE,"Budget2000";"SecondQ",#N/A,FALSE,"Budget2000";"Summary",#N/A,FALSE,"Budget2000"}</definedName>
    <definedName name="k" hidden="1">{"FirstQ",#N/A,FALSE,"Budget2000";"SecondQ",#N/A,FALSE,"Budget2000";"Summary",#N/A,FALSE,"Budget2000"}</definedName>
    <definedName name="q" localSheetId="9" hidden="1">{"FirstQ",#N/A,FALSE,"Budget2000";"SecondQ",#N/A,FALSE,"Budget2000";"Summary",#N/A,FALSE,"Budget2000"}</definedName>
    <definedName name="q" hidden="1">{"FirstQ",#N/A,FALSE,"Budget2000";"SecondQ",#N/A,FALSE,"Budget2000";"Summary",#N/A,FALSE,"Budget2000"}</definedName>
    <definedName name="rr" localSheetId="9" hidden="1">{"FirstQ",#N/A,FALSE,"Budget2000";"SecondQ",#N/A,FALSE,"Budget2000"}</definedName>
    <definedName name="rr" hidden="1">{"FirstQ",#N/A,FALSE,"Budget2000";"SecondQ",#N/A,FALSE,"Budget2000"}</definedName>
    <definedName name="rrr" localSheetId="9" hidden="1">{"AllDetail",#N/A,FALSE,"Research Budget";"1stQuarter",#N/A,FALSE,"Research Budget";"2nd Quarter",#N/A,FALSE,"Research Budget";"Summary",#N/A,FALSE,"Research Budget"}</definedName>
    <definedName name="rrr" hidden="1">{"AllDetail",#N/A,FALSE,"Research Budget";"1stQuarter",#N/A,FALSE,"Research Budget";"2nd Quarter",#N/A,FALSE,"Research Budget";"Summary",#N/A,FALSE,"Research Budget"}</definedName>
    <definedName name="wrn.AllData." localSheetId="9" hidden="1">{"FirstQ",#N/A,FALSE,"Budget2000";"SecondQ",#N/A,FALSE,"Budget2000";"Summary",#N/A,FALSE,"Budget2000"}</definedName>
    <definedName name="wrn.AllData." hidden="1">{"FirstQ",#N/A,FALSE,"Budget2000";"SecondQ",#N/A,FALSE,"Budget2000";"Summary",#N/A,FALSE,"Budget2000"}</definedName>
    <definedName name="wrn.FirstHalf." localSheetId="9" hidden="1">{"FirstQ",#N/A,FALSE,"Budget2000";"SecondQ",#N/A,FALSE,"Budget2000"}</definedName>
    <definedName name="wrn.FirstHalf." hidden="1">{"FirstQ",#N/A,FALSE,"Budget2000";"SecondQ",#N/A,FALSE,"Budget2000"}</definedName>
    <definedName name="x" localSheetId="9" hidden="1">{"FirstQ",#N/A,FALSE,"Budget2000";"SecondQ",#N/A,FALSE,"Budget2000";"Summary",#N/A,FALSE,"Budget2000"}</definedName>
    <definedName name="x" hidden="1">{"FirstQ",#N/A,FALSE,"Budget2000";"SecondQ",#N/A,FALSE,"Budget2000";"Summary",#N/A,FALSE,"Budget2000"}</definedName>
    <definedName name="xxxxxxxxxxxxxxxxxxx" localSheetId="9" hidden="1">{"AllDetail",#N/A,FALSE,"Research Budget";"1stQuarter",#N/A,FALSE,"Research Budget";"2nd Quarter",#N/A,FALSE,"Research Budget";"Summary",#N/A,FALSE,"Research Budget"}</definedName>
    <definedName name="xxxxxxxxxxxxxxxxxxx" hidden="1">{"AllDetail",#N/A,FALSE,"Research Budget";"1stQuarter",#N/A,FALSE,"Research Budget";"2nd Quarter",#N/A,FALSE,"Research Budget";"Summary",#N/A,FALSE,"Research Budget"}</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9" i="19" l="1" a="1"/>
  <c r="P19" i="19" s="1"/>
  <c r="P18" i="19" a="1"/>
  <c r="P18" i="19" s="1"/>
  <c r="AB6" i="3"/>
  <c r="AB10" i="3"/>
  <c r="I4" i="4"/>
  <c r="M19" i="19"/>
  <c r="M18" i="19"/>
  <c r="I27" i="19" a="1"/>
  <c r="J24" i="19"/>
  <c r="J23" i="19"/>
  <c r="J22" i="19"/>
  <c r="J20" i="19"/>
  <c r="J19" i="19"/>
  <c r="J18" i="19"/>
  <c r="G4" i="15"/>
  <c r="G11" i="1"/>
  <c r="J8" i="14"/>
  <c r="I9" i="14"/>
  <c r="I10" i="14"/>
  <c r="I11" i="14"/>
  <c r="I12" i="14"/>
  <c r="I8" i="14"/>
  <c r="G3" i="1"/>
  <c r="G7" i="1"/>
  <c r="AB18" i="3"/>
  <c r="AB14" i="3"/>
  <c r="AB2" i="3"/>
  <c r="T4" i="19"/>
  <c r="T5" i="19"/>
  <c r="T6" i="19"/>
  <c r="T7" i="19"/>
  <c r="T8" i="19"/>
  <c r="T9" i="19"/>
  <c r="T10" i="19"/>
  <c r="T11" i="19"/>
  <c r="T12" i="19"/>
  <c r="T3" i="19"/>
  <c r="E4" i="19"/>
  <c r="E5" i="19"/>
  <c r="E6" i="19"/>
  <c r="E7" i="19"/>
  <c r="E8" i="19"/>
  <c r="E9" i="19"/>
  <c r="E10" i="19"/>
  <c r="E11" i="19"/>
  <c r="E12" i="19"/>
  <c r="E13" i="19"/>
  <c r="E14" i="19"/>
  <c r="E15" i="19"/>
  <c r="E16" i="19"/>
  <c r="E17" i="19"/>
  <c r="E18" i="19"/>
  <c r="E19" i="19"/>
  <c r="E20" i="19"/>
  <c r="E21" i="19"/>
  <c r="E22" i="19"/>
  <c r="E3" i="19"/>
  <c r="I27" i="19" l="1"/>
  <c r="J21" i="1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<sst xmlns="http://schemas.openxmlformats.org/spreadsheetml/2006/main" count="1157" uniqueCount="429">
  <si>
    <t>اسم الموظف</t>
  </si>
  <si>
    <t>محمد سفعين سمير محمد</t>
  </si>
  <si>
    <t>رقم الموظف</t>
  </si>
  <si>
    <t>رقم الموبايل</t>
  </si>
  <si>
    <t>مؤمن رياض مروان حمزة</t>
  </si>
  <si>
    <t>شادي محمود زياد أحمد</t>
  </si>
  <si>
    <t>أسامة صهيب محمد زهير</t>
  </si>
  <si>
    <t>جلال إبراهيم محمد جمعة</t>
  </si>
  <si>
    <t>يزن زهير محمود خميس</t>
  </si>
  <si>
    <t>حمزة شادي صهيب راضي</t>
  </si>
  <si>
    <t>أحمد سيد إبراهيم سمير</t>
  </si>
  <si>
    <t>المسمى الوظيفي</t>
  </si>
  <si>
    <t>راتب الموظف</t>
  </si>
  <si>
    <t>سعيد محمود رمضان كامل</t>
  </si>
  <si>
    <t>محاسب</t>
  </si>
  <si>
    <t>حسين يزن  راضي محمد</t>
  </si>
  <si>
    <t>إداري</t>
  </si>
  <si>
    <t>مهندس</t>
  </si>
  <si>
    <t>سعيد محمد سامي محمود</t>
  </si>
  <si>
    <t>قانوني</t>
  </si>
  <si>
    <t>آذن</t>
  </si>
  <si>
    <t>سيد حمزة أسامة أنس</t>
  </si>
  <si>
    <t>جمال أحمد جلال هشام</t>
  </si>
  <si>
    <t>مبرمج</t>
  </si>
  <si>
    <t>قاسم أنس يزن صهيب</t>
  </si>
  <si>
    <t>سليمان هشام سفيان إبراهيم</t>
  </si>
  <si>
    <t>سفيان حسين حمزة فوزي</t>
  </si>
  <si>
    <t>محمد محمد أحمد رياض</t>
  </si>
  <si>
    <t>رياض سعيد أنس راضي</t>
  </si>
  <si>
    <t>محمودِ مؤمن هشام رياض</t>
  </si>
  <si>
    <t>اجمالى رواتب الموظفين</t>
  </si>
  <si>
    <t>اجمالى عدد الموظفين</t>
  </si>
  <si>
    <t xml:space="preserve"> +</t>
  </si>
  <si>
    <t>الجمع</t>
  </si>
  <si>
    <t>Sum</t>
  </si>
  <si>
    <t>-</t>
  </si>
  <si>
    <t>Minus</t>
  </si>
  <si>
    <t>الطرح</t>
  </si>
  <si>
    <t>÷</t>
  </si>
  <si>
    <t>Divided</t>
  </si>
  <si>
    <t>القسمة</t>
  </si>
  <si>
    <t>×</t>
  </si>
  <si>
    <t>Multiply</t>
  </si>
  <si>
    <t>الضرب</t>
  </si>
  <si>
    <t>+</t>
  </si>
  <si>
    <t>/</t>
  </si>
  <si>
    <t>*</t>
  </si>
  <si>
    <t>متوسط رواتب الموظفين</t>
  </si>
  <si>
    <t>Mohamed</t>
  </si>
  <si>
    <t>Copy</t>
  </si>
  <si>
    <t>Ctrl + C</t>
  </si>
  <si>
    <t>Paste</t>
  </si>
  <si>
    <t>Ctrl + V</t>
  </si>
  <si>
    <t>Cut</t>
  </si>
  <si>
    <t>Ctrl + X</t>
  </si>
  <si>
    <t>Format Painter</t>
  </si>
  <si>
    <t>Tahseen</t>
  </si>
  <si>
    <t>Clipboard</t>
  </si>
  <si>
    <t>Font</t>
  </si>
  <si>
    <t>Alignment</t>
  </si>
  <si>
    <t>Wrap Text</t>
  </si>
  <si>
    <t>Align</t>
  </si>
  <si>
    <t>Orientation</t>
  </si>
  <si>
    <t>Merge</t>
  </si>
  <si>
    <t>Number</t>
  </si>
  <si>
    <t>Highlight Cell Rules:</t>
  </si>
  <si>
    <t>Greater Than</t>
  </si>
  <si>
    <t>Less Than</t>
  </si>
  <si>
    <t>Between</t>
  </si>
  <si>
    <t>Equal To</t>
  </si>
  <si>
    <t>Text That Contains</t>
  </si>
  <si>
    <t>A Date Occurring</t>
  </si>
  <si>
    <t>Duplicate Values</t>
  </si>
  <si>
    <t>Top/Bottom Rules:</t>
  </si>
  <si>
    <t>Top 10 Items</t>
  </si>
  <si>
    <t>Top 10%</t>
  </si>
  <si>
    <t>Bottom 10 Items</t>
  </si>
  <si>
    <t>Bottom 10%</t>
  </si>
  <si>
    <t>Data Bars:</t>
  </si>
  <si>
    <t>Gradient Fill</t>
  </si>
  <si>
    <t>Solid Fill</t>
  </si>
  <si>
    <t>Color Scales:</t>
  </si>
  <si>
    <t>2-Color Scale</t>
  </si>
  <si>
    <t>3-Color Scale</t>
  </si>
  <si>
    <t>Icon Sets:</t>
  </si>
  <si>
    <t>3 Arrows (Colored)</t>
  </si>
  <si>
    <t>3 Triangles</t>
  </si>
  <si>
    <t>3 Flags</t>
  </si>
  <si>
    <t>3 Stars</t>
  </si>
  <si>
    <t>3 Traffic Lights (Unrimmed)</t>
  </si>
  <si>
    <t>3 Signs</t>
  </si>
  <si>
    <t>Clear Rules:</t>
  </si>
  <si>
    <t>Clear Rules from Selected Cells</t>
  </si>
  <si>
    <t>Clear Rules from Entire Sheet</t>
  </si>
  <si>
    <t>اعلى مرتب</t>
  </si>
  <si>
    <t>اقل مرتب</t>
  </si>
  <si>
    <t>SumIF</t>
  </si>
  <si>
    <t>جمع الارقام ولكن بشرط معين</t>
  </si>
  <si>
    <t>CountIF</t>
  </si>
  <si>
    <t>Average</t>
  </si>
  <si>
    <t>المتوسط</t>
  </si>
  <si>
    <t>Max</t>
  </si>
  <si>
    <t>اعلى قيمة</t>
  </si>
  <si>
    <t>MIN</t>
  </si>
  <si>
    <t>اقل قيمة</t>
  </si>
  <si>
    <t>0000144555</t>
  </si>
  <si>
    <t>Text</t>
  </si>
  <si>
    <t>Long Date</t>
  </si>
  <si>
    <t>Short Date</t>
  </si>
  <si>
    <t>Percentage</t>
  </si>
  <si>
    <t>Currency</t>
  </si>
  <si>
    <t>Range</t>
  </si>
  <si>
    <t>المدى اللى بندور فيه</t>
  </si>
  <si>
    <t>Crieteria</t>
  </si>
  <si>
    <t>اللى بندور بيه</t>
  </si>
  <si>
    <t>Sum Range</t>
  </si>
  <si>
    <t>المدى اللى عايزين نجمعه</t>
  </si>
  <si>
    <t>CountA</t>
  </si>
  <si>
    <t>عد الاشياء ايا كانت
(ارقام او اى شىء)
ولكن بشرط معين</t>
  </si>
  <si>
    <t>عد الاشياء ايا كانت (ارقام او اى شىء)</t>
  </si>
  <si>
    <t>جمع</t>
  </si>
  <si>
    <t>طرح</t>
  </si>
  <si>
    <t>قسمة</t>
  </si>
  <si>
    <t>ضرب</t>
  </si>
  <si>
    <t>Home Tab</t>
  </si>
  <si>
    <t>Conditional Formating</t>
  </si>
  <si>
    <t>Styles</t>
  </si>
  <si>
    <t>tahseen</t>
  </si>
  <si>
    <t>Cells</t>
  </si>
  <si>
    <t>Inserting Images &amp; Shapes</t>
  </si>
  <si>
    <t>Excel Fundmentals</t>
  </si>
  <si>
    <t xml:space="preserve">Mohamed Tahseen </t>
  </si>
  <si>
    <t>pizza_category</t>
  </si>
  <si>
    <t>pizza_size</t>
  </si>
  <si>
    <t>pizza_name</t>
  </si>
  <si>
    <t>Classic</t>
  </si>
  <si>
    <t>M</t>
  </si>
  <si>
    <t>The Hawaiian Pizza</t>
  </si>
  <si>
    <t>The Classic Deluxe Pizza</t>
  </si>
  <si>
    <t>Veggie</t>
  </si>
  <si>
    <t>L</t>
  </si>
  <si>
    <t>The Five Cheese Pizza</t>
  </si>
  <si>
    <t>Supreme</t>
  </si>
  <si>
    <t>The Italian Supreme Pizza</t>
  </si>
  <si>
    <t>The Mexicana Pizza</t>
  </si>
  <si>
    <t>Chicken</t>
  </si>
  <si>
    <t>The Thai Chicken Pizza</t>
  </si>
  <si>
    <t>The Prosciutto and Arugula Pizza</t>
  </si>
  <si>
    <t>S</t>
  </si>
  <si>
    <t>The Barbecue Chicken Pizza</t>
  </si>
  <si>
    <t>The Greek Pizza</t>
  </si>
  <si>
    <t>The Spinach Supreme Pizza</t>
  </si>
  <si>
    <t>The Green Garden Pizza</t>
  </si>
  <si>
    <t>The Italian Capocollo Pizza</t>
  </si>
  <si>
    <t>The Spicy Italian Pizza</t>
  </si>
  <si>
    <t>The Spinach Pesto Pizza</t>
  </si>
  <si>
    <t>The Vegetables + Vegetables Pizza</t>
  </si>
  <si>
    <t>The Southwest Chicken Pizza</t>
  </si>
  <si>
    <t>The California Chicken Pizza</t>
  </si>
  <si>
    <t>The Pepperoni Pizza</t>
  </si>
  <si>
    <t>The Chicken Pesto Pizza</t>
  </si>
  <si>
    <t>The Big Meat Pizza</t>
  </si>
  <si>
    <t>The Soppressata Pizza</t>
  </si>
  <si>
    <t>The Four Cheese Pizza</t>
  </si>
  <si>
    <t>The Napolitana Pizza</t>
  </si>
  <si>
    <t>The Calabrese Pizza</t>
  </si>
  <si>
    <t>The Italian Vegetables Pizza</t>
  </si>
  <si>
    <t>The Mediterranean Pizza</t>
  </si>
  <si>
    <t>The Pepper Salami Pizza</t>
  </si>
  <si>
    <t>The Spinach and Feta Pizza</t>
  </si>
  <si>
    <t>The Sicilian Pizza</t>
  </si>
  <si>
    <t>The Chicken Alfredo Pizza</t>
  </si>
  <si>
    <t>The Pepperoni, Mushroom, and Peppers Pizza</t>
  </si>
  <si>
    <t>No. Orders</t>
  </si>
  <si>
    <t>SumIFs</t>
  </si>
  <si>
    <t>جمع الارقام ولكن بأكثر من شرط</t>
  </si>
  <si>
    <t>CountIFs</t>
  </si>
  <si>
    <t>عد الاشياء ايا كانت
(ارقام او اى شىء)
ولكن بأكثر من شرط معين</t>
  </si>
  <si>
    <t>الـ Dynamic Ranges في Excel هي نطاقات خلايا متغيرة الحجم، يعني إنها بتتغير تلقائيًا لما تضيف أو تحذف بيانات. فايدتها الأساسية إنها بتسهل التعامل مع البيانات المتغيرة، بدل ما تحتاج كل مرة تعدّل النطاقات يدويًا في المعادلات أو الجداول.</t>
  </si>
  <si>
    <t>فيه طريقتين رئيسيتين لإنشاء Dynamic Ranges:</t>
  </si>
  <si>
    <t>1. استخدام الجداول (Excel Tables):</t>
  </si>
  <si>
    <t>حدد البيانات اللي عايز تعملها نطاق ديناميكي.</t>
  </si>
  <si>
    <t>اضغط على Ctrl + T أو من التبويب "Insert" اضغط على "Table".</t>
  </si>
  <si>
    <t>دلوقتي النطاق ده بقى ديناميكي، وكل ما تضيف بيانات جديدة، هيتم تحديث النطاق تلقائي.</t>
  </si>
  <si>
    <t>2.استخدام المعادلات</t>
  </si>
  <si>
    <t>معادلة مثل</t>
  </si>
  <si>
    <t>UNIQUE</t>
  </si>
  <si>
    <t>SEQUENCE</t>
  </si>
  <si>
    <t>الـ Dynamic Ranges في Excel هي نطاقات خلايا متغيرة الحجم، يعني إنها بتتغير تلقائيًا لما تضيف أو تحذف بيانات. فايدت</t>
  </si>
  <si>
    <t>Dynamic Ranges</t>
  </si>
  <si>
    <t>Data Validation في Excel هي أداة قوية تتيح لك التحكم في نوع البيانات التي يمكن إدخالها في الخلايا. باستخدامها، يمكنك تحديد قواعد معينة للمستخدمين أثناء إدخال البيانات، مما يساعد في تقليل الأخطاء وضمان اتساق البيانات.</t>
  </si>
  <si>
    <t>إزاي تستخدم Data Validation؟</t>
  </si>
  <si>
    <t>هل انت مصري</t>
  </si>
  <si>
    <t>1. تحديد الخلية أو النطاق:</t>
  </si>
  <si>
    <t>حدد الخلية أو النطاق اللي عايز تطبق عليه القواعد.</t>
  </si>
  <si>
    <t>2. فتح أداة Data Validation:</t>
  </si>
  <si>
    <t>كم عمرك</t>
  </si>
  <si>
    <t>اضغط على تبويب Data من الشريط الرئيسي.</t>
  </si>
  <si>
    <t>بعد كده اختار Data Validation من المجموعة "Data Tools".</t>
  </si>
  <si>
    <t>3. اختيار نوع البيانات:</t>
  </si>
  <si>
    <t>ادخل رقم البطاقة</t>
  </si>
  <si>
    <t>هتلاقي نافذة  Data Validation فتحت. تحت Settings، هتلاقي قائمة منسدلة تحت Allow. هنا تقدر تختار نوع البيانات اللي عايز تسمح بيها:</t>
  </si>
  <si>
    <r>
      <rPr>
        <b/>
        <sz val="11"/>
        <color theme="1"/>
        <rFont val="Aptos Narrow"/>
        <family val="2"/>
        <scheme val="minor"/>
      </rPr>
      <t>Whole Number</t>
    </r>
    <r>
      <rPr>
        <sz val="11"/>
        <color theme="1"/>
        <rFont val="Aptos Narrow"/>
        <family val="2"/>
        <scheme val="minor"/>
      </rPr>
      <t>: لو عايز تقبل أرقام صحيحة فقط.</t>
    </r>
  </si>
  <si>
    <r>
      <rPr>
        <b/>
        <sz val="11"/>
        <color theme="1"/>
        <rFont val="Aptos Narrow"/>
        <family val="2"/>
        <scheme val="minor"/>
      </rPr>
      <t>Decimal</t>
    </r>
    <r>
      <rPr>
        <sz val="11"/>
        <color theme="1"/>
        <rFont val="Aptos Narrow"/>
        <family val="2"/>
        <scheme val="minor"/>
      </rPr>
      <t>: لو عايز تقبل أرقام عشرية.</t>
    </r>
  </si>
  <si>
    <r>
      <rPr>
        <b/>
        <sz val="11"/>
        <color theme="1"/>
        <rFont val="Aptos Narrow"/>
        <family val="2"/>
        <scheme val="minor"/>
      </rPr>
      <t>List</t>
    </r>
    <r>
      <rPr>
        <sz val="11"/>
        <color theme="1"/>
        <rFont val="Aptos Narrow"/>
        <family val="2"/>
        <scheme val="minor"/>
      </rPr>
      <t>: لو عايز تقيد الإدخال لقائمة محددة من القيم.</t>
    </r>
  </si>
  <si>
    <r>
      <rPr>
        <b/>
        <sz val="11"/>
        <color theme="1"/>
        <rFont val="Aptos Narrow"/>
        <family val="2"/>
        <scheme val="minor"/>
      </rPr>
      <t>Date</t>
    </r>
    <r>
      <rPr>
        <sz val="11"/>
        <color theme="1"/>
        <rFont val="Aptos Narrow"/>
        <family val="2"/>
        <scheme val="minor"/>
      </rPr>
      <t>: لو عايز تقبل تواريخ بس.</t>
    </r>
  </si>
  <si>
    <r>
      <rPr>
        <b/>
        <sz val="11"/>
        <color theme="1"/>
        <rFont val="Aptos Narrow"/>
        <family val="2"/>
        <scheme val="minor"/>
      </rPr>
      <t>Time</t>
    </r>
    <r>
      <rPr>
        <sz val="11"/>
        <color theme="1"/>
        <rFont val="Aptos Narrow"/>
        <family val="2"/>
        <scheme val="minor"/>
      </rPr>
      <t>: لو عايز تقبل وقت بس.</t>
    </r>
  </si>
  <si>
    <r>
      <rPr>
        <b/>
        <sz val="11"/>
        <color theme="1"/>
        <rFont val="Aptos Narrow"/>
        <family val="2"/>
        <scheme val="minor"/>
      </rPr>
      <t>Text Length</t>
    </r>
    <r>
      <rPr>
        <sz val="11"/>
        <color theme="1"/>
        <rFont val="Aptos Narrow"/>
        <family val="2"/>
        <scheme val="minor"/>
      </rPr>
      <t>: لو عايز تقيد طول النص.</t>
    </r>
  </si>
  <si>
    <r>
      <rPr>
        <b/>
        <sz val="11"/>
        <color theme="1"/>
        <rFont val="Aptos Narrow"/>
        <family val="2"/>
        <scheme val="minor"/>
      </rPr>
      <t>Custom</t>
    </r>
    <r>
      <rPr>
        <sz val="11"/>
        <color theme="1"/>
        <rFont val="Aptos Narrow"/>
        <family val="2"/>
        <scheme val="minor"/>
      </rPr>
      <t>: لو عايز تستخدم معادلة مخصصة لتحديد القاعدة.</t>
    </r>
  </si>
  <si>
    <t>4. تحديد الشروط:</t>
  </si>
  <si>
    <t>بعد ما تختار النوع، هتلاقي خيارات إضافية تحت Data زي "between" أو "greater than" بناءً على النوع اللي اخترته. حدد الشرط اللي يناسبك وأدخل القيم المطلوبة.</t>
  </si>
  <si>
    <t>5. إضافة رسالة الإدخال (اختياري):</t>
  </si>
  <si>
    <t>ممكن تضيف رسالة تظهر للمستخدم لما يجي يدخل البيانات عشان يعرف القواعد المطلوبة. ده بيتعمل من تبويب Input Message في نفس النافذة.</t>
  </si>
  <si>
    <t>6. إضافة رسالة الخطأ (اختياري):</t>
  </si>
  <si>
    <t>لو المستخدم دخل بيانات مخالفة للقاعدة، ممكن تظهرله رسالة خطأ مخصصة. ده بيتعمل من تبويب Error Alert.</t>
  </si>
  <si>
    <t>Data Validation</t>
  </si>
  <si>
    <t>يمكنك تحديد قواعد معينة للمستخدمين أثناء إدخال البيانات، مما يساعد في تقليل الأخطاء وضمان اتساق البيانات</t>
  </si>
  <si>
    <t>Insert</t>
  </si>
  <si>
    <t>Cell</t>
  </si>
  <si>
    <t>Column</t>
  </si>
  <si>
    <t>Row</t>
  </si>
  <si>
    <t>Delete</t>
  </si>
  <si>
    <t>Foramt</t>
  </si>
  <si>
    <t>Coulmn</t>
  </si>
  <si>
    <t>Editing</t>
  </si>
  <si>
    <t>Flash Fill</t>
  </si>
  <si>
    <t>Fill</t>
  </si>
  <si>
    <t>Down</t>
  </si>
  <si>
    <t>Right</t>
  </si>
  <si>
    <t>Up</t>
  </si>
  <si>
    <t>Left</t>
  </si>
  <si>
    <t>Border</t>
  </si>
  <si>
    <t>Find &amp; Replace</t>
  </si>
  <si>
    <t>Clear</t>
  </si>
  <si>
    <t>Mohamed Ali</t>
  </si>
  <si>
    <t>Ahmed Hassan</t>
  </si>
  <si>
    <t>Karim Emad</t>
  </si>
  <si>
    <t>Mahmoud Yasser</t>
  </si>
  <si>
    <t>Khaled Omar</t>
  </si>
  <si>
    <t>Mostafa Saeed</t>
  </si>
  <si>
    <t>Youssef Ahmed</t>
  </si>
  <si>
    <t>Ibrahim Sami</t>
  </si>
  <si>
    <t>Abdullah Tarek</t>
  </si>
  <si>
    <t>Ali Gamal</t>
  </si>
  <si>
    <t>Omar Hussein</t>
  </si>
  <si>
    <t>Sherif Waleed</t>
  </si>
  <si>
    <t>Hany Mohamed</t>
  </si>
  <si>
    <t>Ibrahim Khaled</t>
  </si>
  <si>
    <t>Amr Ahmed</t>
  </si>
  <si>
    <t>mohamed.ali@example.com</t>
  </si>
  <si>
    <t>ahmed.hassan@example.com</t>
  </si>
  <si>
    <t>karim.emad@example.com</t>
  </si>
  <si>
    <t>mahmoud.yasser@example.com</t>
  </si>
  <si>
    <t>khaled.omar@example.com</t>
  </si>
  <si>
    <t>youssef.ahmed@example.com</t>
  </si>
  <si>
    <t>ibrahim.sami@example.com</t>
  </si>
  <si>
    <t>abdullah.tarek@example.com</t>
  </si>
  <si>
    <t>ali.gamal@example.com</t>
  </si>
  <si>
    <t>omar.hussein@example.com</t>
  </si>
  <si>
    <t>Transpose</t>
  </si>
  <si>
    <t>Filter</t>
  </si>
  <si>
    <t>الزيادة السنوية</t>
  </si>
  <si>
    <t>Employee ID</t>
  </si>
  <si>
    <t>Employee Name</t>
  </si>
  <si>
    <t>Job Title</t>
  </si>
  <si>
    <t>Salary</t>
  </si>
  <si>
    <t>Phone Number</t>
  </si>
  <si>
    <t>Hossam Mahmoud Khaled</t>
  </si>
  <si>
    <t>Project Manager</t>
  </si>
  <si>
    <t>Rania Youssef Mohamed</t>
  </si>
  <si>
    <t>HR Manager</t>
  </si>
  <si>
    <t>Amira Ali Ahmed</t>
  </si>
  <si>
    <t>Software Engineer</t>
  </si>
  <si>
    <t>Layla Hassan Mohamed</t>
  </si>
  <si>
    <t>Accountant</t>
  </si>
  <si>
    <t>Heba Mohamed Saeed</t>
  </si>
  <si>
    <t>Omar Khaled Mostafa</t>
  </si>
  <si>
    <t>Sarah Youssef Abdelrahman</t>
  </si>
  <si>
    <t>Mahmoud Ali Hassan</t>
  </si>
  <si>
    <t>Mohamed Ali Youssef</t>
  </si>
  <si>
    <t>Ahmed Hassan Saad</t>
  </si>
  <si>
    <t>Nourhan Youssef Abdelfattah</t>
  </si>
  <si>
    <t>Khaled Mohamed Hassan</t>
  </si>
  <si>
    <t>Abdelrahman Ahmed Mostafa</t>
  </si>
  <si>
    <t>Karim Mohamed Abdullah</t>
  </si>
  <si>
    <t>Mariam Ali Hassan</t>
  </si>
  <si>
    <t>Nada Mohamed Abdelhamid</t>
  </si>
  <si>
    <t>Aya Abdelrahman Khaled</t>
  </si>
  <si>
    <t>Islam Ahmed Ali</t>
  </si>
  <si>
    <t>Amr Salah Ibrahim</t>
  </si>
  <si>
    <t>Abdullah Mahmoud Mohamed</t>
  </si>
  <si>
    <t>Noor Amr Ibrahim</t>
  </si>
  <si>
    <t>Youssef Ahmed Abdelrahman</t>
  </si>
  <si>
    <t>Ali Mohamed Hassan</t>
  </si>
  <si>
    <t>Fatma Youssef Saeed</t>
  </si>
  <si>
    <t>Sara Khaled Mohamed</t>
  </si>
  <si>
    <t>Mostafa Abdelrahman Kamel</t>
  </si>
  <si>
    <t>Yasmin Mohamed Abdelfattah</t>
  </si>
  <si>
    <t>Ahmed Ali Mostafa</t>
  </si>
  <si>
    <t>Mahmoud Hassan Abdallah</t>
  </si>
  <si>
    <t>Mohamed Ahmed Ali</t>
  </si>
  <si>
    <t>Seller ID</t>
  </si>
  <si>
    <t>Quantity</t>
  </si>
  <si>
    <t>Invoice Value</t>
  </si>
  <si>
    <t>Laptop</t>
  </si>
  <si>
    <t>Cairo Warehouse</t>
  </si>
  <si>
    <t>Smartphone</t>
  </si>
  <si>
    <t>Alexandria Warehouse</t>
  </si>
  <si>
    <t>Tablet</t>
  </si>
  <si>
    <t>Giza Warehouse</t>
  </si>
  <si>
    <t>Headphones</t>
  </si>
  <si>
    <t>Tanta Warehouse</t>
  </si>
  <si>
    <t>Printer</t>
  </si>
  <si>
    <t>Mansoura Warehouse</t>
  </si>
  <si>
    <t>Port Said Warehouse</t>
  </si>
  <si>
    <t>Sohag Warehouse</t>
  </si>
  <si>
    <t>Aswan Warehouse</t>
  </si>
  <si>
    <t>Damanhur Warehouse</t>
  </si>
  <si>
    <t>Fayoum Warehouse</t>
  </si>
  <si>
    <t>Warehouse</t>
  </si>
  <si>
    <t>Product</t>
  </si>
  <si>
    <t>Sales</t>
  </si>
  <si>
    <t>No. Employees</t>
  </si>
  <si>
    <t>Seller Name</t>
  </si>
  <si>
    <t>Product Sold</t>
  </si>
  <si>
    <t>Sales Value</t>
  </si>
  <si>
    <t>Omar Abdel Rahman</t>
  </si>
  <si>
    <t>Leila Hassan</t>
  </si>
  <si>
    <t>Ahmed El Shazly</t>
  </si>
  <si>
    <t>Mariam Fathy</t>
  </si>
  <si>
    <t>Karim Soliman</t>
  </si>
  <si>
    <t>Hossam Farouk</t>
  </si>
  <si>
    <t>Rania Said</t>
  </si>
  <si>
    <t>Youssef Abdel Aziz</t>
  </si>
  <si>
    <t>Dina Khalil</t>
  </si>
  <si>
    <t>Ahmed Zaki</t>
  </si>
  <si>
    <t>Samira Anwar</t>
  </si>
  <si>
    <t>Tamer Saeed</t>
  </si>
  <si>
    <t>Lina Abdel Kader</t>
  </si>
  <si>
    <t>Mohamed El-Din</t>
  </si>
  <si>
    <t>Yasmin Gamal</t>
  </si>
  <si>
    <t>Ayman Hassan</t>
  </si>
  <si>
    <t>Noura Ibrahim</t>
  </si>
  <si>
    <t>Hany Mahmoud</t>
  </si>
  <si>
    <t>Sara El-Amin</t>
  </si>
  <si>
    <t>Khaled Rashed</t>
  </si>
  <si>
    <t>Yasmine Fouad</t>
  </si>
  <si>
    <r>
      <t xml:space="preserve"> =SUMIFS(sum_range, </t>
    </r>
    <r>
      <rPr>
        <sz val="14"/>
        <color rgb="FFFF0000"/>
        <rFont val="Aptos Narrow"/>
        <family val="2"/>
        <scheme val="minor"/>
      </rPr>
      <t>criteria_range1</t>
    </r>
    <r>
      <rPr>
        <sz val="14"/>
        <color theme="1"/>
        <rFont val="Aptos Narrow"/>
        <family val="2"/>
        <scheme val="minor"/>
      </rPr>
      <t xml:space="preserve">, </t>
    </r>
    <r>
      <rPr>
        <sz val="14"/>
        <color rgb="FFFF0000"/>
        <rFont val="Aptos Narrow"/>
        <family val="2"/>
        <scheme val="minor"/>
      </rPr>
      <t>criteria1</t>
    </r>
    <r>
      <rPr>
        <sz val="14"/>
        <color theme="1"/>
        <rFont val="Aptos Narrow"/>
        <family val="2"/>
        <scheme val="minor"/>
      </rPr>
      <t>, [</t>
    </r>
    <r>
      <rPr>
        <sz val="14"/>
        <color theme="6"/>
        <rFont val="Aptos Narrow"/>
        <family val="2"/>
        <scheme val="minor"/>
      </rPr>
      <t>criteria_range2</t>
    </r>
    <r>
      <rPr>
        <sz val="14"/>
        <color theme="1"/>
        <rFont val="Aptos Narrow"/>
        <family val="2"/>
        <scheme val="minor"/>
      </rPr>
      <t xml:space="preserve">, </t>
    </r>
    <r>
      <rPr>
        <sz val="14"/>
        <color theme="6"/>
        <rFont val="Aptos Narrow"/>
        <family val="2"/>
        <scheme val="minor"/>
      </rPr>
      <t>criteria2</t>
    </r>
    <r>
      <rPr>
        <sz val="14"/>
        <color theme="1"/>
        <rFont val="Aptos Narrow"/>
        <family val="2"/>
        <scheme val="minor"/>
      </rPr>
      <t>], ...)</t>
    </r>
  </si>
  <si>
    <t>الأجزاء الرئيسية للمعادلة:
sum_range: ده العمود اللي هتجمع منه القيم. يعني العمود اللي فيه الأرقام اللي عايز تجمعها.
criteria_range1: ده العمود اللي هتحط فيه الشرط الأول. يعني العمود اللي هتشوف فيه لو الشرط اللي عندك متحقق ولا لأ.
criteria1: ده الشرط اللي هتستخدمه. يعني القيمة أو القاعدة اللي عايز تطابقها في العمود اللي حددته في الخطوة السابقة.
[criteria_range2, criteria2], ...: لو عندك شروط تانية، هتحط النطاقات والشروط الإضافية هنا. يعني ممكن تضيف أكتر من شرط.</t>
  </si>
  <si>
    <t>Order ID</t>
  </si>
  <si>
    <t>Price per Unit</t>
  </si>
  <si>
    <t>Date</t>
  </si>
  <si>
    <t>Apple</t>
  </si>
  <si>
    <t>Orange</t>
  </si>
  <si>
    <t>Banana</t>
  </si>
  <si>
    <t>Mango</t>
  </si>
  <si>
    <t>Grape</t>
  </si>
  <si>
    <t>13/01/2024</t>
  </si>
  <si>
    <t>14/01/2024</t>
  </si>
  <si>
    <t>15/01/2024</t>
  </si>
  <si>
    <t>16/01/2024</t>
  </si>
  <si>
    <t>17/01/2024</t>
  </si>
  <si>
    <t>18/01/2024</t>
  </si>
  <si>
    <t>19/01/2024</t>
  </si>
  <si>
    <t>20/01/2024</t>
  </si>
  <si>
    <t>First Name</t>
  </si>
  <si>
    <t>Last Name</t>
  </si>
  <si>
    <t>Department</t>
  </si>
  <si>
    <t>Hours Worked</t>
  </si>
  <si>
    <t>E001</t>
  </si>
  <si>
    <t>Ahmed</t>
  </si>
  <si>
    <t>Hassan</t>
  </si>
  <si>
    <t>E002</t>
  </si>
  <si>
    <t>Mona</t>
  </si>
  <si>
    <t>Saeed</t>
  </si>
  <si>
    <t>HR</t>
  </si>
  <si>
    <t>E003</t>
  </si>
  <si>
    <t>Karim</t>
  </si>
  <si>
    <t>Youssef</t>
  </si>
  <si>
    <t>IT</t>
  </si>
  <si>
    <t>E004</t>
  </si>
  <si>
    <t>Sara</t>
  </si>
  <si>
    <t>Nabil</t>
  </si>
  <si>
    <t>E005</t>
  </si>
  <si>
    <t>Nader</t>
  </si>
  <si>
    <t>Ismail</t>
  </si>
  <si>
    <t>E006</t>
  </si>
  <si>
    <t>Laila</t>
  </si>
  <si>
    <t>Salem</t>
  </si>
  <si>
    <t>E007</t>
  </si>
  <si>
    <t>Tarek</t>
  </si>
  <si>
    <t>E008</t>
  </si>
  <si>
    <t>Hala</t>
  </si>
  <si>
    <t>Omar</t>
  </si>
  <si>
    <t>E009</t>
  </si>
  <si>
    <t>Adel</t>
  </si>
  <si>
    <t>E010</t>
  </si>
  <si>
    <t>Nour</t>
  </si>
  <si>
    <t>Zaki</t>
  </si>
  <si>
    <t>Employee</t>
  </si>
  <si>
    <t>Stock Quantity</t>
  </si>
  <si>
    <t>Reorder Level</t>
  </si>
  <si>
    <t>Warehouse A</t>
  </si>
  <si>
    <t>Warehouse B</t>
  </si>
  <si>
    <t>Warehouse C</t>
  </si>
  <si>
    <t>Warehouse D</t>
  </si>
  <si>
    <t>Warehouse E</t>
  </si>
  <si>
    <t>Warehouse F</t>
  </si>
  <si>
    <t>Warehouse G</t>
  </si>
  <si>
    <t>Warehouse H</t>
  </si>
  <si>
    <t>Warehouse I</t>
  </si>
  <si>
    <t>Warehouse J</t>
  </si>
  <si>
    <t>Inventory</t>
  </si>
  <si>
    <t>Diff between Maximum and Minimum QTY</t>
  </si>
  <si>
    <t>Average Price per Unit in Sales</t>
  </si>
  <si>
    <t>Total Revenue for Each Order</t>
  </si>
  <si>
    <t>Number of Products Sold</t>
  </si>
  <si>
    <t>Average Salary</t>
  </si>
  <si>
    <t>Highest Stock Quantity</t>
  </si>
  <si>
    <t>Lowest Stock Quantity</t>
  </si>
  <si>
    <t>Sum of Sales where Quantity is greater than 15</t>
  </si>
  <si>
    <t>Sum of Sales where Quantity is greater than 10 and Price per Unit is less than 2</t>
  </si>
  <si>
    <t>Count of Products where Sales are greater than 1500</t>
  </si>
  <si>
    <t>Count of Orders where Quantity is greater than 10 and Sales are less than 2000</t>
  </si>
  <si>
    <t xml:space="preserve">جيزة </t>
  </si>
  <si>
    <t>قاهرة</t>
  </si>
  <si>
    <t>فيوم</t>
  </si>
  <si>
    <t>غربية</t>
  </si>
  <si>
    <t>شرقية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</si>
</sst>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quot;$&quot;#,##0.00"/>
  </numFmts>
  <fonts count="34">
    <font>
      <sz val="11"/>
      <color theme="1"/>
      <name val="Aptos Narrow"/>
      <family val="2"/>
      <scheme val="minor"/>
    </font>
    <font>
      <sz val="11"/>
      <color theme="1"/>
      <name val="Aptos Narrow"/>
      <family val="2"/>
      <scheme val="minor"/>
    </font>
    <font>
      <sz val="11"/>
      <color theme="1"/>
      <name val="Aptos Narrow"/>
      <family val="2"/>
      <charset val="178"/>
      <scheme val="minor"/>
    </font>
    <font>
      <sz val="18"/>
      <color theme="1"/>
      <name val="Aptos Narrow"/>
      <family val="2"/>
      <scheme val="minor"/>
    </font>
    <font>
      <b/>
      <sz val="18"/>
      <color theme="0"/>
      <name val="Aptos Narrow"/>
      <family val="2"/>
      <scheme val="minor"/>
    </font>
    <font>
      <b/>
      <sz val="18"/>
      <color theme="1"/>
      <name val="Aptos Narrow"/>
      <family val="2"/>
      <scheme val="minor"/>
    </font>
    <font>
      <sz val="26"/>
      <color theme="1"/>
      <name val="Sakkal Majalla"/>
    </font>
    <font>
      <b/>
      <sz val="26"/>
      <color theme="1"/>
      <name val="Sakkal Majalla"/>
    </font>
    <font>
      <b/>
      <sz val="28"/>
      <color theme="1"/>
      <name val="Sakkal Majalla"/>
    </font>
    <font>
      <b/>
      <i/>
      <u/>
      <sz val="28"/>
      <color rgb="FF0070C0"/>
      <name val="Algerian"/>
      <family val="5"/>
    </font>
    <font>
      <b/>
      <sz val="22"/>
      <color theme="1"/>
      <name val="Sakkal Majalla"/>
    </font>
    <font>
      <sz val="22"/>
      <color theme="1"/>
      <name val="Aptos Narrow"/>
      <family val="2"/>
      <scheme val="minor"/>
    </font>
    <font>
      <sz val="26"/>
      <color theme="1"/>
      <name val="Aptos Narrow"/>
      <family val="2"/>
      <scheme val="minor"/>
    </font>
    <font>
      <u/>
      <sz val="11"/>
      <color theme="10"/>
      <name val="Aptos Narrow"/>
      <family val="2"/>
      <scheme val="minor"/>
    </font>
    <font>
      <u/>
      <sz val="24"/>
      <color theme="10"/>
      <name val="Aptos Narrow"/>
      <family val="2"/>
      <scheme val="minor"/>
    </font>
    <font>
      <sz val="11"/>
      <color rgb="FF9C0006"/>
      <name val="Aptos Narrow"/>
      <family val="2"/>
      <scheme val="minor"/>
    </font>
    <font>
      <b/>
      <sz val="11"/>
      <color rgb="FF3F3F3F"/>
      <name val="Aptos Narrow"/>
      <family val="2"/>
      <scheme val="minor"/>
    </font>
    <font>
      <b/>
      <sz val="11"/>
      <color theme="1"/>
      <name val="Aptos Narrow"/>
      <family val="2"/>
      <scheme val="minor"/>
    </font>
    <font>
      <b/>
      <i/>
      <u/>
      <sz val="18"/>
      <color theme="0"/>
      <name val="AL-Battar"/>
      <charset val="178"/>
    </font>
    <font>
      <sz val="20"/>
      <color theme="1"/>
      <name val="Aptos Narrow"/>
      <family val="2"/>
      <scheme val="minor"/>
    </font>
    <font>
      <sz val="28"/>
      <color theme="1"/>
      <name val="Aptos Narrow"/>
      <family val="2"/>
      <scheme val="minor"/>
    </font>
    <font>
      <sz val="11"/>
      <color theme="1"/>
      <name val="Sakkal Majalla"/>
    </font>
    <font>
      <sz val="14"/>
      <color theme="1"/>
      <name val="Aptos Narrow"/>
      <family val="2"/>
      <scheme val="minor"/>
    </font>
    <font>
      <sz val="12"/>
      <color theme="1"/>
      <name val="Aptos Narrow"/>
      <family val="2"/>
      <scheme val="minor"/>
    </font>
    <font>
      <b/>
      <sz val="11"/>
      <color theme="1"/>
      <name val="Calibri"/>
      <family val="2"/>
    </font>
    <font>
      <b/>
      <sz val="14"/>
      <color theme="1"/>
      <name val="Aptos Narrow"/>
      <family val="2"/>
      <scheme val="minor"/>
    </font>
    <font>
      <sz val="16"/>
      <color theme="1"/>
      <name val="Aptos Narrow"/>
      <family val="2"/>
      <scheme val="minor"/>
    </font>
    <font>
      <b/>
      <sz val="16"/>
      <color theme="0"/>
      <name val="Aptos Narrow"/>
      <family val="2"/>
      <scheme val="minor"/>
    </font>
    <font>
      <b/>
      <sz val="12"/>
      <color theme="1"/>
      <name val="Aptos Narrow"/>
      <family val="2"/>
      <scheme val="minor"/>
    </font>
    <font>
      <sz val="12"/>
      <color theme="1"/>
      <name val="Sakkal Majalla"/>
    </font>
    <font>
      <sz val="14"/>
      <color theme="1"/>
      <name val="Sakkal Majalla"/>
    </font>
    <font>
      <sz val="14"/>
      <color theme="0"/>
      <name val="Aptos Narrow"/>
      <family val="2"/>
      <scheme val="minor"/>
    </font>
    <font>
      <sz val="14"/>
      <color rgb="FFFF0000"/>
      <name val="Aptos Narrow"/>
      <family val="2"/>
      <scheme val="minor"/>
    </font>
    <font>
      <sz val="14"/>
      <color theme="6"/>
      <name val="Aptos Narrow"/>
      <family val="2"/>
      <scheme val="minor"/>
    </font>
  </fonts>
  <fills count="20">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2"/>
        <bgColor indexed="64"/>
      </patternFill>
    </fill>
    <fill>
      <patternFill patternType="solid">
        <fgColor theme="3" tint="0.749992370372631"/>
        <bgColor indexed="64"/>
      </patternFill>
    </fill>
    <fill>
      <patternFill patternType="solid">
        <fgColor theme="5"/>
        <bgColor indexed="64"/>
      </patternFill>
    </fill>
    <fill>
      <patternFill patternType="solid">
        <fgColor theme="4"/>
        <bgColor indexed="64"/>
      </patternFill>
    </fill>
    <fill>
      <patternFill patternType="solid">
        <fgColor rgb="FFFFC7CE"/>
      </patternFill>
    </fill>
    <fill>
      <patternFill patternType="solid">
        <fgColor rgb="FFF2F2F2"/>
      </patternFill>
    </fill>
    <fill>
      <patternFill patternType="solid">
        <fgColor theme="6" tint="0.39997558519241921"/>
        <bgColor indexed="65"/>
      </patternFill>
    </fill>
    <fill>
      <patternFill patternType="solid">
        <fgColor rgb="FFFF0000"/>
        <bgColor indexed="64"/>
      </patternFill>
    </fill>
    <fill>
      <patternFill patternType="solid">
        <fgColor theme="1" tint="4.9989318521683403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C000"/>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1"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0" fontId="2" fillId="0" borderId="0"/>
    <xf numFmtId="9" fontId="1" fillId="0" borderId="0" applyFont="0" applyFill="0" applyBorder="0" applyAlignment="0" applyProtection="0"/>
    <xf numFmtId="0" fontId="13" fillId="0" borderId="0" applyNumberFormat="0" applyFill="0" applyBorder="0" applyAlignment="0" applyProtection="0"/>
    <xf numFmtId="0" fontId="15" fillId="8" borderId="0" applyNumberFormat="0" applyBorder="0" applyAlignment="0" applyProtection="0"/>
    <xf numFmtId="0" fontId="16" fillId="9" borderId="2" applyNumberFormat="0" applyAlignment="0" applyProtection="0"/>
    <xf numFmtId="0" fontId="1" fillId="10" borderId="0" applyNumberFormat="0" applyBorder="0" applyAlignment="0" applyProtection="0"/>
  </cellStyleXfs>
  <cellXfs count="118">
    <xf numFmtId="0" fontId="0" fillId="0" borderId="0" xfId="0"/>
    <xf numFmtId="0" fontId="3" fillId="0" borderId="0" xfId="0" applyFont="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6" fillId="0" borderId="1" xfId="0" applyFont="1" applyBorder="1" applyAlignment="1">
      <alignment horizontal="center" vertical="center"/>
    </xf>
    <xf numFmtId="3" fontId="6" fillId="0" borderId="1" xfId="0" applyNumberFormat="1" applyFont="1" applyBorder="1" applyAlignment="1">
      <alignment horizontal="center" vertical="center"/>
    </xf>
    <xf numFmtId="0" fontId="7" fillId="3" borderId="1" xfId="0" applyFont="1" applyFill="1" applyBorder="1" applyAlignment="1">
      <alignment horizontal="center" vertical="center"/>
    </xf>
    <xf numFmtId="0" fontId="8" fillId="3" borderId="0" xfId="0" applyFont="1" applyFill="1" applyAlignment="1">
      <alignment horizontal="center" vertical="center"/>
    </xf>
    <xf numFmtId="0" fontId="7"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7" fillId="0" borderId="1" xfId="0" applyFont="1" applyBorder="1" applyAlignment="1">
      <alignment horizontal="center" vertical="center"/>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9" fillId="3" borderId="1" xfId="0" applyFont="1" applyFill="1" applyBorder="1" applyAlignment="1">
      <alignment horizontal="center" vertical="center"/>
    </xf>
    <xf numFmtId="0" fontId="3" fillId="0" borderId="0" xfId="0" applyFont="1" applyAlignment="1">
      <alignment horizontal="center" vertical="center" textRotation="45"/>
    </xf>
    <xf numFmtId="0" fontId="3" fillId="3" borderId="0" xfId="0" applyFont="1" applyFill="1" applyAlignment="1">
      <alignment horizontal="center" vertical="center"/>
    </xf>
    <xf numFmtId="0" fontId="3" fillId="0" borderId="0" xfId="0" applyFont="1" applyAlignment="1">
      <alignment horizontal="center" vertical="center" textRotation="135"/>
    </xf>
    <xf numFmtId="0" fontId="3" fillId="0" borderId="0" xfId="0" applyFont="1" applyAlignment="1">
      <alignment horizontal="center" vertical="center" wrapText="1"/>
    </xf>
    <xf numFmtId="2" fontId="3" fillId="0" borderId="0" xfId="0" applyNumberFormat="1" applyFont="1" applyAlignment="1">
      <alignment horizontal="center" vertical="center"/>
    </xf>
    <xf numFmtId="0" fontId="10" fillId="0" borderId="1" xfId="0" applyFont="1" applyBorder="1" applyAlignment="1">
      <alignment horizontal="center" vertical="center"/>
    </xf>
    <xf numFmtId="0" fontId="11" fillId="3" borderId="1" xfId="0" applyFont="1" applyFill="1" applyBorder="1" applyAlignment="1">
      <alignment horizontal="center" vertical="center" wrapText="1"/>
    </xf>
    <xf numFmtId="0" fontId="11" fillId="0" borderId="0" xfId="0" applyFont="1" applyAlignment="1">
      <alignment horizontal="center" vertical="center"/>
    </xf>
    <xf numFmtId="0" fontId="11" fillId="3" borderId="1" xfId="0" applyFont="1" applyFill="1" applyBorder="1" applyAlignment="1">
      <alignment horizontal="center" vertical="center"/>
    </xf>
    <xf numFmtId="49" fontId="3" fillId="0" borderId="0" xfId="0" applyNumberFormat="1" applyFont="1" applyAlignment="1">
      <alignment horizontal="center" vertical="center"/>
    </xf>
    <xf numFmtId="14" fontId="3" fillId="0" borderId="0" xfId="0" applyNumberFormat="1" applyFont="1" applyAlignment="1">
      <alignment horizontal="center" vertical="center"/>
    </xf>
    <xf numFmtId="164" fontId="3" fillId="0" borderId="0" xfId="0" applyNumberFormat="1" applyFont="1" applyAlignment="1">
      <alignment horizontal="center" vertical="center"/>
    </xf>
    <xf numFmtId="9" fontId="3" fillId="0" borderId="0" xfId="2" applyFont="1" applyAlignment="1">
      <alignment horizontal="center" vertical="center"/>
    </xf>
    <xf numFmtId="165" fontId="3" fillId="0" borderId="0" xfId="0" applyNumberFormat="1" applyFont="1" applyAlignment="1">
      <alignment horizontal="center" vertical="center"/>
    </xf>
    <xf numFmtId="0" fontId="14" fillId="4" borderId="1" xfId="3" applyFont="1" applyFill="1" applyBorder="1" applyAlignment="1">
      <alignment horizontal="center" vertical="center"/>
    </xf>
    <xf numFmtId="0" fontId="15" fillId="8" borderId="0" xfId="4" applyAlignment="1">
      <alignment horizontal="center" vertical="center"/>
    </xf>
    <xf numFmtId="0" fontId="16" fillId="9" borderId="2" xfId="5" applyAlignment="1">
      <alignment horizontal="center" vertical="center"/>
    </xf>
    <xf numFmtId="0" fontId="0" fillId="10" borderId="0" xfId="6" applyFont="1" applyAlignment="1">
      <alignment horizontal="center" vertical="center"/>
    </xf>
    <xf numFmtId="0" fontId="0" fillId="0" borderId="0" xfId="0" applyAlignment="1">
      <alignment horizontal="center"/>
    </xf>
    <xf numFmtId="0" fontId="0" fillId="0" borderId="1" xfId="0" applyBorder="1" applyAlignment="1">
      <alignment horizontal="center"/>
    </xf>
    <xf numFmtId="0" fontId="18" fillId="11" borderId="1" xfId="0" applyFont="1" applyFill="1" applyBorder="1" applyAlignment="1">
      <alignment horizontal="center" vertical="center"/>
    </xf>
    <xf numFmtId="0" fontId="0" fillId="0" borderId="1" xfId="0" applyBorder="1" applyAlignment="1">
      <alignment horizontal="center" vertical="center"/>
    </xf>
    <xf numFmtId="0" fontId="21" fillId="0" borderId="0" xfId="0" applyFont="1" applyAlignment="1">
      <alignment horizontal="center" vertical="center"/>
    </xf>
    <xf numFmtId="0" fontId="23" fillId="0" borderId="0" xfId="0" applyFont="1" applyAlignment="1">
      <alignment horizontal="center"/>
    </xf>
    <xf numFmtId="0" fontId="24" fillId="3" borderId="1" xfId="0" applyFont="1" applyFill="1" applyBorder="1" applyAlignment="1">
      <alignment horizontal="center" vertical="center"/>
    </xf>
    <xf numFmtId="0" fontId="22" fillId="14" borderId="1" xfId="0" applyFont="1" applyFill="1" applyBorder="1" applyAlignment="1">
      <alignment horizontal="center"/>
    </xf>
    <xf numFmtId="0" fontId="23" fillId="0" borderId="1" xfId="0" applyFont="1" applyBorder="1" applyAlignment="1">
      <alignment horizontal="center"/>
    </xf>
    <xf numFmtId="0" fontId="22" fillId="0" borderId="0" xfId="0" applyFont="1" applyAlignment="1">
      <alignment horizontal="center" vertical="center" wrapText="1"/>
    </xf>
    <xf numFmtId="0" fontId="25" fillId="15" borderId="0" xfId="0" applyFont="1" applyFill="1" applyAlignment="1">
      <alignment horizontal="left"/>
    </xf>
    <xf numFmtId="0" fontId="17" fillId="0" borderId="0" xfId="0" applyFont="1" applyAlignment="1">
      <alignment horizontal="center"/>
    </xf>
    <xf numFmtId="0" fontId="17" fillId="3" borderId="0" xfId="0" applyFont="1" applyFill="1"/>
    <xf numFmtId="0" fontId="0" fillId="0" borderId="0" xfId="0" applyAlignment="1">
      <alignment horizontal="center" wrapText="1"/>
    </xf>
    <xf numFmtId="0" fontId="26" fillId="0" borderId="0" xfId="0" applyFont="1"/>
    <xf numFmtId="0" fontId="26" fillId="0" borderId="0" xfId="0" applyFont="1" applyAlignment="1">
      <alignment horizontal="center"/>
    </xf>
    <xf numFmtId="0" fontId="22" fillId="0" borderId="0" xfId="0" applyFont="1"/>
    <xf numFmtId="0" fontId="11" fillId="0" borderId="1" xfId="0" applyFont="1" applyBorder="1" applyAlignment="1">
      <alignment horizontal="center" vertical="center"/>
    </xf>
    <xf numFmtId="0" fontId="12" fillId="3" borderId="1" xfId="0" applyFont="1" applyFill="1" applyBorder="1" applyAlignment="1">
      <alignment horizontal="center" vertical="center"/>
    </xf>
    <xf numFmtId="0" fontId="3" fillId="15" borderId="1" xfId="0" applyFont="1" applyFill="1" applyBorder="1" applyAlignment="1">
      <alignment horizontal="center" vertical="center"/>
    </xf>
    <xf numFmtId="0" fontId="3" fillId="12" borderId="0" xfId="0" applyFont="1" applyFill="1" applyAlignment="1">
      <alignment horizontal="center" vertical="center"/>
    </xf>
    <xf numFmtId="0" fontId="0" fillId="12" borderId="0" xfId="0" applyFill="1"/>
    <xf numFmtId="0" fontId="3" fillId="0" borderId="0" xfId="0" applyFont="1"/>
    <xf numFmtId="0" fontId="0" fillId="0" borderId="1" xfId="0" applyBorder="1"/>
    <xf numFmtId="0" fontId="28" fillId="13" borderId="1" xfId="0" applyFont="1" applyFill="1" applyBorder="1" applyAlignment="1">
      <alignment horizontal="center"/>
    </xf>
    <xf numFmtId="0" fontId="23" fillId="0" borderId="0" xfId="0" applyFont="1"/>
    <xf numFmtId="0" fontId="29" fillId="0" borderId="0" xfId="0" applyFont="1" applyAlignment="1">
      <alignment horizontal="center" vertical="center"/>
    </xf>
    <xf numFmtId="0" fontId="30" fillId="0" borderId="0" xfId="0" applyFont="1" applyAlignment="1">
      <alignment horizontal="center" vertical="center"/>
    </xf>
    <xf numFmtId="0" fontId="22" fillId="0" borderId="0" xfId="0" applyFont="1" applyAlignment="1">
      <alignment horizontal="center"/>
    </xf>
    <xf numFmtId="0" fontId="23" fillId="14" borderId="1" xfId="0" applyFont="1" applyFill="1" applyBorder="1" applyAlignment="1">
      <alignment horizontal="center"/>
    </xf>
    <xf numFmtId="0" fontId="26" fillId="4" borderId="0" xfId="0" applyFont="1" applyFill="1"/>
    <xf numFmtId="0" fontId="23" fillId="3" borderId="1" xfId="0" applyFont="1" applyFill="1" applyBorder="1" applyAlignment="1">
      <alignment horizontal="center"/>
    </xf>
    <xf numFmtId="0" fontId="28" fillId="14" borderId="1" xfId="0" applyFont="1" applyFill="1" applyBorder="1" applyAlignment="1">
      <alignment horizontal="center"/>
    </xf>
    <xf numFmtId="0" fontId="17" fillId="14" borderId="1" xfId="0" applyFont="1" applyFill="1" applyBorder="1" applyAlignment="1">
      <alignment horizontal="center"/>
    </xf>
    <xf numFmtId="0" fontId="31" fillId="6" borderId="1" xfId="0" applyFont="1" applyFill="1" applyBorder="1" applyAlignment="1">
      <alignment horizontal="center"/>
    </xf>
    <xf numFmtId="0" fontId="3" fillId="0" borderId="0" xfId="0" applyFont="1" applyAlignment="1">
      <alignment horizontal="left" vertical="center"/>
    </xf>
    <xf numFmtId="0" fontId="3" fillId="0" borderId="0" xfId="0" applyFont="1" applyAlignment="1">
      <alignment horizontal="right" vertical="center"/>
    </xf>
    <xf numFmtId="0" fontId="25" fillId="3" borderId="0" xfId="0" applyFont="1" applyFill="1"/>
    <xf numFmtId="3" fontId="22" fillId="0" borderId="0" xfId="0" applyNumberFormat="1" applyFont="1" applyAlignment="1">
      <alignment horizontal="center"/>
    </xf>
    <xf numFmtId="0" fontId="25" fillId="14" borderId="0" xfId="0" applyFont="1" applyFill="1" applyAlignment="1">
      <alignment horizontal="center"/>
    </xf>
    <xf numFmtId="3" fontId="23" fillId="0" borderId="1" xfId="0" applyNumberFormat="1" applyFont="1" applyBorder="1" applyAlignment="1">
      <alignment horizontal="center"/>
    </xf>
    <xf numFmtId="0" fontId="25" fillId="14" borderId="1" xfId="0" applyFont="1" applyFill="1" applyBorder="1"/>
    <xf numFmtId="3" fontId="22" fillId="0" borderId="1" xfId="0" applyNumberFormat="1" applyFont="1" applyBorder="1" applyAlignment="1">
      <alignment horizontal="center"/>
    </xf>
    <xf numFmtId="0" fontId="25" fillId="14" borderId="1" xfId="0" applyFont="1" applyFill="1" applyBorder="1" applyAlignment="1">
      <alignment horizontal="center"/>
    </xf>
    <xf numFmtId="0" fontId="0" fillId="3" borderId="1" xfId="0" applyFill="1" applyBorder="1" applyAlignment="1">
      <alignment horizontal="center"/>
    </xf>
    <xf numFmtId="14" fontId="0" fillId="0" borderId="1" xfId="0" applyNumberFormat="1" applyBorder="1" applyAlignment="1">
      <alignment horizontal="center"/>
    </xf>
    <xf numFmtId="3" fontId="0" fillId="0" borderId="1" xfId="0" applyNumberFormat="1" applyBorder="1" applyAlignment="1">
      <alignment horizontal="center"/>
    </xf>
    <xf numFmtId="0" fontId="0" fillId="0" borderId="0" xfId="0"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0" fontId="0" fillId="0" borderId="0" xfId="0" applyAlignment="1">
      <alignment vertical="center"/>
    </xf>
    <xf numFmtId="4" fontId="0" fillId="0" borderId="0" xfId="0" applyNumberFormat="1" applyAlignment="1">
      <alignment horizontal="center" vertical="center"/>
    </xf>
    <xf numFmtId="0" fontId="0" fillId="15" borderId="1" xfId="0" applyFill="1" applyBorder="1" applyAlignment="1">
      <alignment horizontal="center" vertical="center" wrapText="1"/>
    </xf>
    <xf numFmtId="0" fontId="0" fillId="18" borderId="1" xfId="0" applyFill="1" applyBorder="1" applyAlignment="1">
      <alignment horizontal="center" vertical="center" wrapText="1"/>
    </xf>
    <xf numFmtId="0" fontId="26" fillId="3" borderId="1" xfId="0" applyFont="1" applyFill="1" applyBorder="1" applyAlignment="1">
      <alignment horizontal="center" vertical="center"/>
    </xf>
    <xf numFmtId="3" fontId="26" fillId="3" borderId="1" xfId="0" applyNumberFormat="1" applyFont="1" applyFill="1" applyBorder="1" applyAlignment="1">
      <alignment horizontal="center" vertical="center"/>
    </xf>
    <xf numFmtId="0" fontId="28" fillId="0" borderId="0" xfId="0" applyFont="1" applyAlignment="1">
      <alignment horizontal="center" vertical="center"/>
    </xf>
    <xf numFmtId="1" fontId="7" fillId="0" borderId="1" xfId="0" applyNumberFormat="1" applyFont="1" applyBorder="1" applyAlignment="1">
      <alignment horizontal="center" vertical="center"/>
    </xf>
    <xf numFmtId="0" fontId="17" fillId="14" borderId="1" xfId="0" applyFont="1" applyFill="1" applyBorder="1" applyAlignment="1">
      <alignment horizontal="center" vertical="center"/>
    </xf>
    <xf numFmtId="0" fontId="0" fillId="19" borderId="0" xfId="0" applyFill="1" applyAlignment="1">
      <alignment horizontal="center"/>
    </xf>
    <xf numFmtId="0" fontId="3" fillId="0" borderId="0" xfId="0" applyFont="1" applyAlignment="1">
      <alignment horizontal="center" vertical="center"/>
    </xf>
    <xf numFmtId="0" fontId="5" fillId="4" borderId="1" xfId="0" applyFont="1" applyFill="1" applyBorder="1" applyAlignment="1">
      <alignment horizontal="center" vertical="center"/>
    </xf>
    <xf numFmtId="0" fontId="12" fillId="3" borderId="1" xfId="0" applyFont="1" applyFill="1" applyBorder="1" applyAlignment="1">
      <alignment horizontal="center" vertical="center"/>
    </xf>
    <xf numFmtId="0" fontId="20"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4" borderId="3" xfId="0" applyFont="1" applyFill="1" applyBorder="1" applyAlignment="1">
      <alignment horizontal="center" vertical="center"/>
    </xf>
    <xf numFmtId="0" fontId="3" fillId="4" borderId="0" xfId="0" applyFont="1" applyFill="1" applyAlignment="1">
      <alignment horizontal="center" vertical="center"/>
    </xf>
    <xf numFmtId="0" fontId="3" fillId="3" borderId="0" xfId="0" applyFont="1" applyFill="1" applyAlignment="1">
      <alignment horizontal="center" vertical="center"/>
    </xf>
    <xf numFmtId="0" fontId="25" fillId="3" borderId="0" xfId="0" applyFont="1" applyFill="1" applyAlignment="1">
      <alignment horizontal="center" vertical="center"/>
    </xf>
    <xf numFmtId="0" fontId="22" fillId="17" borderId="1" xfId="0" applyFont="1" applyFill="1" applyBorder="1" applyAlignment="1">
      <alignment horizontal="center"/>
    </xf>
    <xf numFmtId="0" fontId="22" fillId="17" borderId="1"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8"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27" fillId="16" borderId="0" xfId="0" applyFont="1" applyFill="1" applyAlignment="1">
      <alignment horizontal="center" vertical="center"/>
    </xf>
    <xf numFmtId="0" fontId="23" fillId="14" borderId="0" xfId="0" applyFont="1" applyFill="1" applyAlignment="1">
      <alignment horizontal="center" vertical="center" readingOrder="2"/>
    </xf>
    <xf numFmtId="0" fontId="0" fillId="0" borderId="0" xfId="0" applyAlignment="1">
      <alignment horizontal="center"/>
    </xf>
  </cellXfs>
  <cellStyles count="7">
    <cellStyle name="60% - Accent3" xfId="6" builtinId="40"/>
    <cellStyle name="Bad" xfId="4" builtinId="27"/>
    <cellStyle name="Hyperlink" xfId="3" builtinId="8"/>
    <cellStyle name="Normal" xfId="0" builtinId="0"/>
    <cellStyle name="Normal 2" xfId="1" xr:uid="{473ED0BE-8065-47D0-BBF8-26DEF0B29C34}"/>
    <cellStyle name="Output" xfId="5" builtinId="21"/>
    <cellStyle name="Percent" xfId="2" builtinId="5"/>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8"/>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8"/>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8"/>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8"/>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8"/>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8"/>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8"/>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colors>
    <mruColors>
      <color rgb="FFA50021"/>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466727</xdr:colOff>
      <xdr:row>34</xdr:row>
      <xdr:rowOff>267381</xdr:rowOff>
    </xdr:from>
    <xdr:to>
      <xdr:col>1</xdr:col>
      <xdr:colOff>1276351</xdr:colOff>
      <xdr:row>36</xdr:row>
      <xdr:rowOff>138793</xdr:rowOff>
    </xdr:to>
    <xdr:pic>
      <xdr:nvPicPr>
        <xdr:cNvPr id="3" name="Picture 2">
          <a:extLst>
            <a:ext uri="{FF2B5EF4-FFF2-40B4-BE49-F238E27FC236}">
              <a16:creationId xmlns:a16="http://schemas.microsoft.com/office/drawing/2014/main" id="{11EB79A7-C95D-447C-1114-1ED89668D7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62277" y="9906681"/>
          <a:ext cx="809624" cy="504824"/>
        </a:xfrm>
        <a:prstGeom prst="rect">
          <a:avLst/>
        </a:prstGeom>
      </xdr:spPr>
    </xdr:pic>
    <xdr:clientData/>
  </xdr:twoCellAnchor>
  <xdr:twoCellAnchor editAs="oneCell">
    <xdr:from>
      <xdr:col>0</xdr:col>
      <xdr:colOff>85725</xdr:colOff>
      <xdr:row>112</xdr:row>
      <xdr:rowOff>173945</xdr:rowOff>
    </xdr:from>
    <xdr:to>
      <xdr:col>1</xdr:col>
      <xdr:colOff>1285875</xdr:colOff>
      <xdr:row>120</xdr:row>
      <xdr:rowOff>103479</xdr:rowOff>
    </xdr:to>
    <xdr:pic>
      <xdr:nvPicPr>
        <xdr:cNvPr id="6" name="Picture 5">
          <a:extLst>
            <a:ext uri="{FF2B5EF4-FFF2-40B4-BE49-F238E27FC236}">
              <a16:creationId xmlns:a16="http://schemas.microsoft.com/office/drawing/2014/main" id="{75379DEA-867A-C2F3-B842-3E4CF6DC8F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 y="26062895"/>
          <a:ext cx="3695700" cy="2463184"/>
        </a:xfrm>
        <a:prstGeom prst="rect">
          <a:avLst/>
        </a:prstGeom>
      </xdr:spPr>
    </xdr:pic>
    <xdr:clientData/>
  </xdr:twoCellAnchor>
  <xdr:twoCellAnchor>
    <xdr:from>
      <xdr:col>2</xdr:col>
      <xdr:colOff>552450</xdr:colOff>
      <xdr:row>114</xdr:row>
      <xdr:rowOff>38100</xdr:rowOff>
    </xdr:from>
    <xdr:to>
      <xdr:col>4</xdr:col>
      <xdr:colOff>581025</xdr:colOff>
      <xdr:row>114</xdr:row>
      <xdr:rowOff>209550</xdr:rowOff>
    </xdr:to>
    <xdr:cxnSp macro="">
      <xdr:nvCxnSpPr>
        <xdr:cNvPr id="8" name="Straight Arrow Connector 7">
          <a:extLst>
            <a:ext uri="{FF2B5EF4-FFF2-40B4-BE49-F238E27FC236}">
              <a16:creationId xmlns:a16="http://schemas.microsoft.com/office/drawing/2014/main" id="{1B62AECE-C47A-7729-83FE-3B6760C4BC0B}"/>
            </a:ext>
          </a:extLst>
        </xdr:cNvPr>
        <xdr:cNvCxnSpPr/>
      </xdr:nvCxnSpPr>
      <xdr:spPr>
        <a:xfrm flipH="1">
          <a:off x="4924425" y="26536650"/>
          <a:ext cx="3133725" cy="171450"/>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381000</xdr:colOff>
      <xdr:row>117</xdr:row>
      <xdr:rowOff>0</xdr:rowOff>
    </xdr:from>
    <xdr:to>
      <xdr:col>4</xdr:col>
      <xdr:colOff>942975</xdr:colOff>
      <xdr:row>120</xdr:row>
      <xdr:rowOff>266700</xdr:rowOff>
    </xdr:to>
    <xdr:sp macro="" textlink="">
      <xdr:nvSpPr>
        <xdr:cNvPr id="9" name="Arrow: Right 8">
          <a:extLst>
            <a:ext uri="{FF2B5EF4-FFF2-40B4-BE49-F238E27FC236}">
              <a16:creationId xmlns:a16="http://schemas.microsoft.com/office/drawing/2014/main" id="{F789DBBE-B783-7FCB-FB26-8328C4284160}"/>
            </a:ext>
          </a:extLst>
        </xdr:cNvPr>
        <xdr:cNvSpPr/>
      </xdr:nvSpPr>
      <xdr:spPr>
        <a:xfrm rot="10800000">
          <a:off x="4752975" y="27412950"/>
          <a:ext cx="3667125" cy="1181100"/>
        </a:xfrm>
        <a:prstGeom prst="rightArrow">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361950</xdr:colOff>
      <xdr:row>112</xdr:row>
      <xdr:rowOff>114918</xdr:rowOff>
    </xdr:from>
    <xdr:to>
      <xdr:col>7</xdr:col>
      <xdr:colOff>1114426</xdr:colOff>
      <xdr:row>118</xdr:row>
      <xdr:rowOff>188785</xdr:rowOff>
    </xdr:to>
    <xdr:pic>
      <xdr:nvPicPr>
        <xdr:cNvPr id="4" name="Picture 3">
          <a:extLst>
            <a:ext uri="{FF2B5EF4-FFF2-40B4-BE49-F238E27FC236}">
              <a16:creationId xmlns:a16="http://schemas.microsoft.com/office/drawing/2014/main" id="{4E3338AF-971D-B51B-3DEA-7608C008E85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15450" y="26251518"/>
          <a:ext cx="3514726" cy="19741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571500</xdr:colOff>
      <xdr:row>6</xdr:row>
      <xdr:rowOff>47625</xdr:rowOff>
    </xdr:from>
    <xdr:to>
      <xdr:col>17</xdr:col>
      <xdr:colOff>1031875</xdr:colOff>
      <xdr:row>8</xdr:row>
      <xdr:rowOff>365125</xdr:rowOff>
    </xdr:to>
    <xdr:sp macro="" textlink="">
      <xdr:nvSpPr>
        <xdr:cNvPr id="2" name="Arrow: Right 1">
          <a:extLst>
            <a:ext uri="{FF2B5EF4-FFF2-40B4-BE49-F238E27FC236}">
              <a16:creationId xmlns:a16="http://schemas.microsoft.com/office/drawing/2014/main" id="{09568134-10B4-FB0E-1AFD-9F9F7F3059F7}"/>
            </a:ext>
          </a:extLst>
        </xdr:cNvPr>
        <xdr:cNvSpPr/>
      </xdr:nvSpPr>
      <xdr:spPr>
        <a:xfrm>
          <a:off x="13001625" y="2524125"/>
          <a:ext cx="5984875" cy="11430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676275</xdr:colOff>
      <xdr:row>0</xdr:row>
      <xdr:rowOff>0</xdr:rowOff>
    </xdr:from>
    <xdr:to>
      <xdr:col>12</xdr:col>
      <xdr:colOff>607695</xdr:colOff>
      <xdr:row>9</xdr:row>
      <xdr:rowOff>339116</xdr:rowOff>
    </xdr:to>
    <xdr:pic>
      <xdr:nvPicPr>
        <xdr:cNvPr id="2" name="Picture 1" descr="Custom Data Validation in Excel : formulas and rules">
          <a:extLst>
            <a:ext uri="{FF2B5EF4-FFF2-40B4-BE49-F238E27FC236}">
              <a16:creationId xmlns:a16="http://schemas.microsoft.com/office/drawing/2014/main" id="{92C918D1-AC3F-4937-9FEE-4B5D188A8B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0350" y="0"/>
          <a:ext cx="4114800" cy="2701316"/>
        </a:xfrm>
        <a:prstGeom prst="rect">
          <a:avLst/>
        </a:prstGeom>
        <a:noFill/>
        <a:ln w="9525">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1D5D24-AB0F-4C8E-B761-AC77DCA64BEB}" name="Table1" displayName="Table1" ref="A69:E75" totalsRowShown="0" headerRowDxfId="11" dataDxfId="10">
  <autoFilter ref="A69:E75" xr:uid="{021D5D24-AB0F-4C8E-B761-AC77DCA64BEB}"/>
  <tableColumns count="5">
    <tableColumn id="1" xr3:uid="{7EF94F4E-20C2-46D6-A03B-2161AFAF8C76}" name="رقم الموظف" dataDxfId="9"/>
    <tableColumn id="2" xr3:uid="{B9983FB6-06F3-4D71-9E80-94C51F63710B}" name="اسم الموظف" dataDxfId="8"/>
    <tableColumn id="3" xr3:uid="{8E1A785D-7B1E-49E6-B943-807E00A1B7E8}" name="المسمى الوظيفي" dataDxfId="7"/>
    <tableColumn id="4" xr3:uid="{DE864645-6DEF-41E9-8440-CE8034E64027}" name="راتب الموظف" dataDxfId="6"/>
    <tableColumn id="5" xr3:uid="{731D4E3B-1794-4124-A26A-3EA8A1F74AAA}" name="رقم الموبايل"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EFDE7-93DD-4DC2-B03A-6FC3CA566C98}">
  <dimension ref="F1:G1"/>
  <sheetViews>
    <sheetView topLeftCell="A123" zoomScale="140" zoomScaleNormal="140" workbookViewId="0">
      <selection activeCell="C7" sqref="C7"/>
    </sheetView>
  </sheetViews>
  <sheetFormatPr defaultRowHeight="14.4"/>
  <cols>
    <col min="6" max="7" width="9.21875" style="35"/>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C0DD7-543E-449A-B9AF-482964CDCD71}">
  <dimension ref="A1:N112"/>
  <sheetViews>
    <sheetView topLeftCell="A94" zoomScale="80" zoomScaleNormal="80" zoomScaleSheetLayoutView="80" workbookViewId="0">
      <selection activeCell="C88" sqref="C1:C1048576"/>
    </sheetView>
  </sheetViews>
  <sheetFormatPr defaultColWidth="20.77734375" defaultRowHeight="23.4"/>
  <cols>
    <col min="1" max="1" width="37.44140625" style="1" bestFit="1" customWidth="1"/>
    <col min="2" max="2" width="28.21875" style="1" customWidth="1"/>
    <col min="3" max="3" width="29.5546875" style="1" bestFit="1" customWidth="1"/>
    <col min="4" max="4" width="21.77734375" style="1" bestFit="1" customWidth="1"/>
    <col min="5" max="5" width="22.21875" style="1" bestFit="1" customWidth="1"/>
    <col min="6" max="9" width="20.77734375" style="1"/>
    <col min="10" max="10" width="20.77734375" style="55"/>
    <col min="11" max="11" width="24.44140625" style="1" bestFit="1" customWidth="1"/>
    <col min="12" max="13" width="20.77734375" style="1"/>
    <col min="14" max="14" width="42" style="1" bestFit="1" customWidth="1"/>
    <col min="15" max="16384" width="20.77734375" style="1"/>
  </cols>
  <sheetData>
    <row r="1" spans="1:7">
      <c r="A1" s="99" t="s">
        <v>130</v>
      </c>
      <c r="B1" s="99"/>
      <c r="C1" s="99"/>
      <c r="D1" s="99"/>
      <c r="E1" s="99"/>
      <c r="F1" s="99"/>
      <c r="G1" s="99"/>
    </row>
    <row r="2" spans="1:7">
      <c r="A2" s="100" t="s">
        <v>57</v>
      </c>
      <c r="B2" s="100"/>
      <c r="C2" s="100"/>
      <c r="D2" s="100"/>
      <c r="E2" s="100"/>
    </row>
    <row r="4" spans="1:7">
      <c r="D4" s="13" t="s">
        <v>49</v>
      </c>
      <c r="E4" s="12" t="s">
        <v>51</v>
      </c>
    </row>
    <row r="5" spans="1:7">
      <c r="A5" s="1" t="s">
        <v>48</v>
      </c>
      <c r="D5" s="2" t="s">
        <v>50</v>
      </c>
      <c r="E5" s="2" t="s">
        <v>52</v>
      </c>
    </row>
    <row r="8" spans="1:7">
      <c r="D8" s="13" t="s">
        <v>53</v>
      </c>
      <c r="E8" s="12" t="s">
        <v>51</v>
      </c>
    </row>
    <row r="9" spans="1:7">
      <c r="B9" s="1" t="s">
        <v>48</v>
      </c>
      <c r="D9" s="2" t="s">
        <v>54</v>
      </c>
      <c r="E9" s="2" t="s">
        <v>52</v>
      </c>
    </row>
    <row r="12" spans="1:7">
      <c r="A12" s="14" t="s">
        <v>48</v>
      </c>
      <c r="B12" s="1" t="s">
        <v>56</v>
      </c>
      <c r="D12" s="15" t="s">
        <v>55</v>
      </c>
    </row>
    <row r="16" spans="1:7">
      <c r="A16" s="96" t="s">
        <v>58</v>
      </c>
      <c r="B16" s="96"/>
      <c r="C16" s="96"/>
      <c r="D16" s="96"/>
      <c r="E16" s="96"/>
    </row>
    <row r="19" spans="1:5" ht="40.200000000000003">
      <c r="A19" s="37" t="s">
        <v>48</v>
      </c>
      <c r="C19" s="16" t="s">
        <v>56</v>
      </c>
    </row>
    <row r="22" spans="1:5">
      <c r="A22" s="2"/>
      <c r="B22" s="2"/>
      <c r="C22" s="2"/>
      <c r="D22"/>
    </row>
    <row r="23" spans="1:5">
      <c r="A23" s="2"/>
      <c r="B23" s="54" t="s">
        <v>231</v>
      </c>
      <c r="C23" s="2"/>
      <c r="D23"/>
    </row>
    <row r="24" spans="1:5">
      <c r="A24" s="2"/>
      <c r="B24" s="2"/>
      <c r="C24" s="2"/>
      <c r="D24"/>
    </row>
    <row r="25" spans="1:5">
      <c r="A25" s="2"/>
      <c r="B25" s="2"/>
      <c r="C25" s="2"/>
      <c r="D25"/>
    </row>
    <row r="27" spans="1:5">
      <c r="A27" s="96" t="s">
        <v>59</v>
      </c>
      <c r="B27" s="96"/>
      <c r="C27" s="96"/>
      <c r="D27" s="96"/>
      <c r="E27" s="96"/>
    </row>
    <row r="30" spans="1:5">
      <c r="A30" s="70" t="s">
        <v>48</v>
      </c>
      <c r="B30" s="71" t="s">
        <v>56</v>
      </c>
      <c r="D30" s="18" t="s">
        <v>61</v>
      </c>
    </row>
    <row r="33" spans="1:12" ht="72">
      <c r="A33" s="17" t="s">
        <v>48</v>
      </c>
      <c r="B33" s="19" t="s">
        <v>56</v>
      </c>
      <c r="D33" s="18" t="s">
        <v>62</v>
      </c>
      <c r="H33" s="95"/>
      <c r="I33" s="95"/>
    </row>
    <row r="34" spans="1:12">
      <c r="G34"/>
      <c r="H34"/>
      <c r="I34"/>
      <c r="J34" s="56"/>
      <c r="K34"/>
      <c r="L34"/>
    </row>
    <row r="35" spans="1:12">
      <c r="G35"/>
      <c r="H35"/>
      <c r="I35"/>
      <c r="J35" s="56"/>
      <c r="K35"/>
      <c r="L35"/>
    </row>
    <row r="36" spans="1:12">
      <c r="A36" s="20" t="s">
        <v>131</v>
      </c>
      <c r="D36" s="18" t="s">
        <v>60</v>
      </c>
      <c r="G36"/>
      <c r="H36"/>
      <c r="I36"/>
      <c r="J36" s="56"/>
      <c r="K36"/>
      <c r="L36"/>
    </row>
    <row r="37" spans="1:12">
      <c r="G37"/>
      <c r="H37"/>
      <c r="I37"/>
      <c r="J37" s="56"/>
      <c r="K37"/>
      <c r="L37"/>
    </row>
    <row r="38" spans="1:12">
      <c r="G38"/>
      <c r="H38"/>
      <c r="I38"/>
      <c r="J38" s="56"/>
      <c r="K38"/>
      <c r="L38"/>
    </row>
    <row r="39" spans="1:12">
      <c r="G39"/>
      <c r="H39"/>
      <c r="I39"/>
      <c r="J39" s="56"/>
      <c r="K39"/>
      <c r="L39"/>
    </row>
    <row r="40" spans="1:12">
      <c r="A40" s="101" t="s">
        <v>48</v>
      </c>
      <c r="B40" s="101"/>
      <c r="D40" s="102" t="s">
        <v>63</v>
      </c>
      <c r="G40"/>
      <c r="H40"/>
      <c r="I40"/>
      <c r="J40" s="56"/>
      <c r="K40"/>
      <c r="L40"/>
    </row>
    <row r="41" spans="1:12">
      <c r="A41" s="101"/>
      <c r="B41" s="101"/>
      <c r="D41" s="102"/>
      <c r="G41"/>
      <c r="H41"/>
      <c r="I41"/>
      <c r="J41" s="56"/>
      <c r="K41"/>
      <c r="L41"/>
    </row>
    <row r="42" spans="1:12">
      <c r="G42"/>
      <c r="H42"/>
      <c r="I42"/>
      <c r="J42" s="56"/>
      <c r="K42"/>
      <c r="L42"/>
    </row>
    <row r="43" spans="1:12">
      <c r="G43"/>
      <c r="H43"/>
      <c r="I43"/>
      <c r="J43" s="56"/>
      <c r="K43"/>
      <c r="L43"/>
    </row>
    <row r="44" spans="1:12">
      <c r="A44" s="96" t="s">
        <v>64</v>
      </c>
      <c r="B44" s="96"/>
      <c r="C44" s="96"/>
      <c r="D44" s="96"/>
      <c r="E44" s="96"/>
    </row>
    <row r="45" spans="1:12">
      <c r="B45" s="1">
        <v>1000000</v>
      </c>
      <c r="H45" s="26"/>
    </row>
    <row r="46" spans="1:12">
      <c r="H46" s="26"/>
    </row>
    <row r="47" spans="1:12">
      <c r="A47" s="21">
        <v>1000000</v>
      </c>
      <c r="C47" s="1" t="s">
        <v>64</v>
      </c>
      <c r="F47" s="26"/>
      <c r="H47" s="26"/>
    </row>
    <row r="48" spans="1:12">
      <c r="H48" s="26"/>
    </row>
    <row r="49" spans="1:8">
      <c r="A49" s="30">
        <v>1000000</v>
      </c>
      <c r="C49" s="1" t="s">
        <v>110</v>
      </c>
      <c r="H49" s="26"/>
    </row>
    <row r="50" spans="1:8">
      <c r="H50" s="26"/>
    </row>
    <row r="51" spans="1:8">
      <c r="A51" s="28">
        <v>33638</v>
      </c>
      <c r="C51" s="1" t="s">
        <v>107</v>
      </c>
      <c r="H51" s="26"/>
    </row>
    <row r="52" spans="1:8">
      <c r="A52" s="27">
        <v>33638</v>
      </c>
      <c r="C52" s="1" t="s">
        <v>108</v>
      </c>
      <c r="H52" s="26"/>
    </row>
    <row r="53" spans="1:8">
      <c r="A53" s="27"/>
      <c r="H53" s="26"/>
    </row>
    <row r="54" spans="1:8">
      <c r="A54" s="1">
        <v>0.31</v>
      </c>
      <c r="C54" s="95" t="s">
        <v>109</v>
      </c>
      <c r="H54" s="26"/>
    </row>
    <row r="55" spans="1:8">
      <c r="A55" s="29">
        <v>0.31</v>
      </c>
      <c r="C55" s="95"/>
    </row>
    <row r="57" spans="1:8">
      <c r="A57" s="26" t="s">
        <v>105</v>
      </c>
      <c r="C57" s="1" t="s">
        <v>106</v>
      </c>
    </row>
    <row r="58" spans="1:8">
      <c r="A58" s="26"/>
    </row>
    <row r="60" spans="1:8">
      <c r="A60" s="96" t="s">
        <v>126</v>
      </c>
      <c r="B60" s="96"/>
      <c r="C60" s="96"/>
      <c r="D60" s="96"/>
      <c r="E60" s="96"/>
    </row>
    <row r="61" spans="1:8">
      <c r="D61"/>
      <c r="E61"/>
    </row>
    <row r="62" spans="1:8">
      <c r="A62" s="32" t="s">
        <v>48</v>
      </c>
      <c r="B62" s="32" t="s">
        <v>127</v>
      </c>
      <c r="D62"/>
      <c r="E62"/>
    </row>
    <row r="63" spans="1:8">
      <c r="D63"/>
      <c r="E63"/>
    </row>
    <row r="64" spans="1:8">
      <c r="A64" s="33" t="s">
        <v>48</v>
      </c>
      <c r="B64" s="33" t="s">
        <v>127</v>
      </c>
    </row>
    <row r="66" spans="1:5">
      <c r="A66" s="34" t="s">
        <v>48</v>
      </c>
      <c r="B66" s="34" t="s">
        <v>127</v>
      </c>
    </row>
    <row r="69" spans="1:5">
      <c r="A69" s="1" t="s">
        <v>2</v>
      </c>
      <c r="B69" s="1" t="s">
        <v>0</v>
      </c>
      <c r="C69" s="1" t="s">
        <v>11</v>
      </c>
      <c r="D69" s="1" t="s">
        <v>12</v>
      </c>
      <c r="E69" s="1" t="s">
        <v>3</v>
      </c>
    </row>
    <row r="70" spans="1:5">
      <c r="A70" s="1">
        <v>14789</v>
      </c>
      <c r="B70" s="1" t="s">
        <v>13</v>
      </c>
      <c r="C70" s="1" t="s">
        <v>14</v>
      </c>
      <c r="D70" s="1">
        <v>3119</v>
      </c>
      <c r="E70" s="1">
        <v>59458686</v>
      </c>
    </row>
    <row r="71" spans="1:5">
      <c r="A71" s="1">
        <v>14790</v>
      </c>
      <c r="B71" s="1" t="s">
        <v>15</v>
      </c>
      <c r="C71" s="1" t="s">
        <v>16</v>
      </c>
      <c r="D71" s="1">
        <v>3714</v>
      </c>
      <c r="E71" s="1">
        <v>59458687</v>
      </c>
    </row>
    <row r="72" spans="1:5">
      <c r="A72" s="1">
        <v>14791</v>
      </c>
      <c r="B72" s="1" t="s">
        <v>1</v>
      </c>
      <c r="C72" s="1" t="s">
        <v>17</v>
      </c>
      <c r="D72" s="1">
        <v>2463</v>
      </c>
      <c r="E72" s="1">
        <v>59458688</v>
      </c>
    </row>
    <row r="73" spans="1:5">
      <c r="A73" s="1">
        <v>14792</v>
      </c>
      <c r="B73" s="1" t="s">
        <v>18</v>
      </c>
      <c r="C73" s="1" t="s">
        <v>19</v>
      </c>
      <c r="D73" s="1">
        <v>2716</v>
      </c>
      <c r="E73" s="1">
        <v>59458689</v>
      </c>
    </row>
    <row r="74" spans="1:5">
      <c r="A74" s="1">
        <v>14793</v>
      </c>
      <c r="B74" s="1" t="s">
        <v>4</v>
      </c>
      <c r="C74" s="1" t="s">
        <v>20</v>
      </c>
      <c r="D74" s="1">
        <v>2983</v>
      </c>
      <c r="E74" s="1">
        <v>59458690</v>
      </c>
    </row>
    <row r="75" spans="1:5">
      <c r="A75" s="1">
        <v>14794</v>
      </c>
      <c r="B75" s="1" t="s">
        <v>5</v>
      </c>
      <c r="C75" s="1" t="s">
        <v>16</v>
      </c>
      <c r="D75" s="1">
        <v>2585</v>
      </c>
      <c r="E75" s="1">
        <v>59458691</v>
      </c>
    </row>
    <row r="78" spans="1:5">
      <c r="A78" s="96" t="s">
        <v>128</v>
      </c>
      <c r="B78" s="96"/>
      <c r="C78" s="96"/>
      <c r="D78" s="96"/>
      <c r="E78" s="96"/>
    </row>
    <row r="81" spans="1:14" ht="28.8">
      <c r="A81" s="97" t="s">
        <v>217</v>
      </c>
      <c r="B81" s="52" t="s">
        <v>218</v>
      </c>
    </row>
    <row r="82" spans="1:14" ht="28.8">
      <c r="A82" s="97"/>
      <c r="B82" s="52" t="s">
        <v>219</v>
      </c>
    </row>
    <row r="83" spans="1:14" ht="28.8">
      <c r="A83" s="97"/>
      <c r="B83" s="52" t="s">
        <v>220</v>
      </c>
    </row>
    <row r="86" spans="1:14" ht="28.8">
      <c r="A86" s="97" t="s">
        <v>221</v>
      </c>
      <c r="B86" s="52" t="s">
        <v>218</v>
      </c>
    </row>
    <row r="87" spans="1:14" ht="28.8">
      <c r="A87" s="97"/>
      <c r="B87" s="52" t="s">
        <v>219</v>
      </c>
    </row>
    <row r="88" spans="1:14" ht="28.8">
      <c r="A88" s="97"/>
      <c r="B88" s="52" t="s">
        <v>220</v>
      </c>
    </row>
    <row r="91" spans="1:14">
      <c r="A91" s="97" t="s">
        <v>222</v>
      </c>
      <c r="B91" s="2" t="s">
        <v>220</v>
      </c>
    </row>
    <row r="92" spans="1:14">
      <c r="A92" s="97"/>
      <c r="B92" s="2" t="s">
        <v>223</v>
      </c>
    </row>
    <row r="95" spans="1:14">
      <c r="A95" s="96" t="s">
        <v>224</v>
      </c>
      <c r="B95" s="96"/>
      <c r="C95" s="96"/>
      <c r="D95" s="96"/>
      <c r="E95" s="96"/>
    </row>
    <row r="96" spans="1:14">
      <c r="K96" s="1" t="s">
        <v>234</v>
      </c>
      <c r="N96" s="57" t="s">
        <v>249</v>
      </c>
    </row>
    <row r="97" spans="1:14">
      <c r="K97" s="1" t="s">
        <v>236</v>
      </c>
      <c r="N97" s="57" t="s">
        <v>250</v>
      </c>
    </row>
    <row r="98" spans="1:14" ht="33.6">
      <c r="A98" s="53" t="s">
        <v>225</v>
      </c>
      <c r="K98" s="1" t="s">
        <v>238</v>
      </c>
      <c r="N98" s="57" t="s">
        <v>251</v>
      </c>
    </row>
    <row r="99" spans="1:14">
      <c r="K99" s="1" t="s">
        <v>240</v>
      </c>
      <c r="N99" s="57" t="s">
        <v>252</v>
      </c>
    </row>
    <row r="100" spans="1:14">
      <c r="A100" s="98" t="s">
        <v>226</v>
      </c>
      <c r="B100" s="2" t="s">
        <v>227</v>
      </c>
      <c r="K100" s="1" t="s">
        <v>242</v>
      </c>
      <c r="N100" s="57" t="s">
        <v>253</v>
      </c>
    </row>
    <row r="101" spans="1:14">
      <c r="A101" s="98"/>
      <c r="B101" s="2" t="s">
        <v>228</v>
      </c>
      <c r="K101" s="1" t="s">
        <v>244</v>
      </c>
      <c r="N101" s="57" t="s">
        <v>254</v>
      </c>
    </row>
    <row r="102" spans="1:14">
      <c r="A102" s="98"/>
      <c r="B102" s="2" t="s">
        <v>229</v>
      </c>
      <c r="K102" s="1" t="s">
        <v>245</v>
      </c>
      <c r="N102" s="57" t="s">
        <v>255</v>
      </c>
    </row>
    <row r="103" spans="1:14">
      <c r="A103" s="98"/>
      <c r="B103" s="2" t="s">
        <v>230</v>
      </c>
      <c r="K103" s="1" t="s">
        <v>246</v>
      </c>
      <c r="N103" s="57" t="s">
        <v>256</v>
      </c>
    </row>
    <row r="104" spans="1:14">
      <c r="K104" s="1" t="s">
        <v>247</v>
      </c>
      <c r="N104" s="57" t="s">
        <v>257</v>
      </c>
    </row>
    <row r="105" spans="1:14">
      <c r="K105" s="1" t="s">
        <v>248</v>
      </c>
      <c r="N105" s="57" t="s">
        <v>258</v>
      </c>
    </row>
    <row r="106" spans="1:14" ht="33.6">
      <c r="A106" s="53" t="s">
        <v>232</v>
      </c>
      <c r="K106" s="1" t="s">
        <v>235</v>
      </c>
    </row>
    <row r="107" spans="1:14">
      <c r="K107" s="1" t="s">
        <v>237</v>
      </c>
    </row>
    <row r="108" spans="1:14">
      <c r="K108" s="1" t="s">
        <v>239</v>
      </c>
    </row>
    <row r="109" spans="1:14" ht="33.6">
      <c r="A109" s="53" t="s">
        <v>233</v>
      </c>
      <c r="K109" s="1" t="s">
        <v>241</v>
      </c>
    </row>
    <row r="110" spans="1:14">
      <c r="K110" s="1" t="s">
        <v>243</v>
      </c>
    </row>
    <row r="112" spans="1:14">
      <c r="A112" s="96" t="s">
        <v>129</v>
      </c>
      <c r="B112" s="96"/>
      <c r="C112" s="96"/>
      <c r="D112" s="96"/>
      <c r="E112" s="96"/>
    </row>
  </sheetData>
  <mergeCells count="17">
    <mergeCell ref="A1:G1"/>
    <mergeCell ref="A2:E2"/>
    <mergeCell ref="A16:E16"/>
    <mergeCell ref="A27:E27"/>
    <mergeCell ref="A40:B41"/>
    <mergeCell ref="D40:D41"/>
    <mergeCell ref="H33:I33"/>
    <mergeCell ref="A60:E60"/>
    <mergeCell ref="A78:E78"/>
    <mergeCell ref="A112:E112"/>
    <mergeCell ref="C54:C55"/>
    <mergeCell ref="A44:E44"/>
    <mergeCell ref="A81:A83"/>
    <mergeCell ref="A86:A88"/>
    <mergeCell ref="A91:A92"/>
    <mergeCell ref="A95:E95"/>
    <mergeCell ref="A100:A103"/>
  </mergeCell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F1521-D686-4C48-B9E7-B01B5368B385}">
  <dimension ref="A1:I36"/>
  <sheetViews>
    <sheetView zoomScale="80" zoomScaleNormal="80" workbookViewId="0">
      <selection activeCell="G15" sqref="G15"/>
    </sheetView>
  </sheetViews>
  <sheetFormatPr defaultColWidth="15.77734375" defaultRowHeight="21.6"/>
  <cols>
    <col min="1" max="1" width="23.77734375" style="62" customWidth="1"/>
    <col min="2" max="2" width="18" style="62" customWidth="1"/>
    <col min="3" max="3" width="14.21875" style="62" customWidth="1"/>
    <col min="4" max="4" width="17.77734375" style="51" customWidth="1"/>
    <col min="7" max="8" width="15.77734375" style="51"/>
    <col min="9" max="9" width="40.44140625" style="51" bestFit="1" customWidth="1"/>
    <col min="10" max="16384" width="15.77734375" style="51"/>
  </cols>
  <sheetData>
    <row r="1" spans="1:9" ht="18">
      <c r="A1" s="103" t="s">
        <v>130</v>
      </c>
      <c r="B1" s="103"/>
      <c r="C1" s="103"/>
      <c r="D1" s="103"/>
      <c r="I1" s="72" t="s">
        <v>65</v>
      </c>
    </row>
    <row r="2" spans="1:9" ht="18">
      <c r="A2" s="74" t="s">
        <v>323</v>
      </c>
      <c r="B2" s="74" t="s">
        <v>324</v>
      </c>
      <c r="C2" s="74" t="s">
        <v>302</v>
      </c>
      <c r="D2" s="74" t="s">
        <v>325</v>
      </c>
      <c r="I2" s="51" t="s">
        <v>66</v>
      </c>
    </row>
    <row r="3" spans="1:9" ht="18">
      <c r="A3" s="63" t="s">
        <v>326</v>
      </c>
      <c r="B3" s="63" t="s">
        <v>304</v>
      </c>
      <c r="C3" s="63">
        <v>50</v>
      </c>
      <c r="D3" s="73">
        <v>50000</v>
      </c>
      <c r="I3" s="51" t="s">
        <v>67</v>
      </c>
    </row>
    <row r="4" spans="1:9" ht="18">
      <c r="A4" s="63" t="s">
        <v>327</v>
      </c>
      <c r="B4" s="63" t="s">
        <v>306</v>
      </c>
      <c r="C4" s="63">
        <v>80</v>
      </c>
      <c r="D4" s="73">
        <v>8000</v>
      </c>
      <c r="I4" s="51" t="s">
        <v>68</v>
      </c>
    </row>
    <row r="5" spans="1:9" ht="18">
      <c r="A5" s="63" t="s">
        <v>328</v>
      </c>
      <c r="B5" s="63" t="s">
        <v>308</v>
      </c>
      <c r="C5" s="63">
        <v>60</v>
      </c>
      <c r="D5" s="73">
        <v>9000</v>
      </c>
      <c r="I5" s="51" t="s">
        <v>69</v>
      </c>
    </row>
    <row r="6" spans="1:9" ht="18">
      <c r="A6" s="63" t="s">
        <v>329</v>
      </c>
      <c r="B6" s="63" t="s">
        <v>310</v>
      </c>
      <c r="C6" s="63">
        <v>120</v>
      </c>
      <c r="D6" s="73">
        <v>12000</v>
      </c>
      <c r="I6" s="51" t="s">
        <v>70</v>
      </c>
    </row>
    <row r="7" spans="1:9" ht="18">
      <c r="A7" s="63" t="s">
        <v>330</v>
      </c>
      <c r="B7" s="63" t="s">
        <v>312</v>
      </c>
      <c r="C7" s="63">
        <v>90</v>
      </c>
      <c r="D7" s="73">
        <v>18000</v>
      </c>
      <c r="I7" s="51" t="s">
        <v>71</v>
      </c>
    </row>
    <row r="8" spans="1:9" ht="18">
      <c r="A8" s="63" t="s">
        <v>331</v>
      </c>
      <c r="B8" s="63" t="s">
        <v>304</v>
      </c>
      <c r="C8" s="63">
        <v>70</v>
      </c>
      <c r="D8" s="73">
        <v>70000</v>
      </c>
      <c r="I8" s="51" t="s">
        <v>72</v>
      </c>
    </row>
    <row r="9" spans="1:9" ht="18">
      <c r="A9" s="63" t="s">
        <v>332</v>
      </c>
      <c r="B9" s="63" t="s">
        <v>306</v>
      </c>
      <c r="C9" s="63">
        <v>85</v>
      </c>
      <c r="D9" s="73">
        <v>8500</v>
      </c>
    </row>
    <row r="10" spans="1:9" ht="18">
      <c r="A10" s="63" t="s">
        <v>333</v>
      </c>
      <c r="B10" s="63" t="s">
        <v>308</v>
      </c>
      <c r="C10" s="63">
        <v>95</v>
      </c>
      <c r="D10" s="73">
        <v>14250</v>
      </c>
      <c r="I10" s="72" t="s">
        <v>73</v>
      </c>
    </row>
    <row r="11" spans="1:9" ht="18">
      <c r="A11" s="63" t="s">
        <v>334</v>
      </c>
      <c r="B11" s="63" t="s">
        <v>310</v>
      </c>
      <c r="C11" s="63">
        <v>110</v>
      </c>
      <c r="D11" s="73">
        <v>11000</v>
      </c>
      <c r="I11" s="51" t="s">
        <v>74</v>
      </c>
    </row>
    <row r="12" spans="1:9" ht="18">
      <c r="A12" s="63" t="s">
        <v>335</v>
      </c>
      <c r="B12" s="63" t="s">
        <v>312</v>
      </c>
      <c r="C12" s="63">
        <v>65</v>
      </c>
      <c r="D12" s="73">
        <v>13000</v>
      </c>
      <c r="I12" s="51" t="s">
        <v>75</v>
      </c>
    </row>
    <row r="13" spans="1:9" ht="18">
      <c r="A13" s="63" t="s">
        <v>336</v>
      </c>
      <c r="B13" s="63" t="s">
        <v>304</v>
      </c>
      <c r="C13" s="63">
        <v>120</v>
      </c>
      <c r="D13" s="73">
        <v>120000</v>
      </c>
      <c r="I13" s="51" t="s">
        <v>76</v>
      </c>
    </row>
    <row r="14" spans="1:9" ht="18">
      <c r="A14" s="63" t="s">
        <v>337</v>
      </c>
      <c r="B14" s="63" t="s">
        <v>306</v>
      </c>
      <c r="C14" s="63">
        <v>75</v>
      </c>
      <c r="D14" s="73">
        <v>7500</v>
      </c>
      <c r="I14" s="51" t="s">
        <v>77</v>
      </c>
    </row>
    <row r="15" spans="1:9" ht="18">
      <c r="A15" s="63" t="s">
        <v>338</v>
      </c>
      <c r="B15" s="63" t="s">
        <v>308</v>
      </c>
      <c r="C15" s="63">
        <v>85</v>
      </c>
      <c r="D15" s="73">
        <v>12750</v>
      </c>
    </row>
    <row r="16" spans="1:9" ht="18">
      <c r="A16" s="63" t="s">
        <v>339</v>
      </c>
      <c r="B16" s="63" t="s">
        <v>310</v>
      </c>
      <c r="C16" s="63">
        <v>130</v>
      </c>
      <c r="D16" s="73">
        <v>13000</v>
      </c>
      <c r="I16" s="72" t="s">
        <v>78</v>
      </c>
    </row>
    <row r="17" spans="1:9" ht="18">
      <c r="A17" s="63" t="s">
        <v>340</v>
      </c>
      <c r="B17" s="63" t="s">
        <v>312</v>
      </c>
      <c r="C17" s="63">
        <v>100</v>
      </c>
      <c r="D17" s="73">
        <v>20000</v>
      </c>
      <c r="I17" s="51" t="s">
        <v>79</v>
      </c>
    </row>
    <row r="18" spans="1:9" ht="18">
      <c r="A18" s="63" t="s">
        <v>341</v>
      </c>
      <c r="B18" s="63" t="s">
        <v>304</v>
      </c>
      <c r="C18" s="63">
        <v>55</v>
      </c>
      <c r="D18" s="73">
        <v>55000</v>
      </c>
      <c r="I18" s="51" t="s">
        <v>80</v>
      </c>
    </row>
    <row r="19" spans="1:9" ht="18">
      <c r="A19" s="63" t="s">
        <v>342</v>
      </c>
      <c r="B19" s="63" t="s">
        <v>306</v>
      </c>
      <c r="C19" s="63">
        <v>90</v>
      </c>
      <c r="D19" s="73">
        <v>9000</v>
      </c>
    </row>
    <row r="20" spans="1:9" ht="18">
      <c r="A20" s="63" t="s">
        <v>343</v>
      </c>
      <c r="B20" s="63" t="s">
        <v>308</v>
      </c>
      <c r="C20" s="63">
        <v>70</v>
      </c>
      <c r="D20" s="73">
        <v>10500</v>
      </c>
      <c r="I20" s="72" t="s">
        <v>81</v>
      </c>
    </row>
    <row r="21" spans="1:9" ht="18">
      <c r="A21" s="63" t="s">
        <v>344</v>
      </c>
      <c r="B21" s="63" t="s">
        <v>310</v>
      </c>
      <c r="C21" s="63">
        <v>80</v>
      </c>
      <c r="D21" s="73">
        <v>8000</v>
      </c>
      <c r="I21" s="51" t="s">
        <v>82</v>
      </c>
    </row>
    <row r="22" spans="1:9" ht="18">
      <c r="A22" s="63" t="s">
        <v>345</v>
      </c>
      <c r="B22" s="63" t="s">
        <v>312</v>
      </c>
      <c r="C22" s="63">
        <v>110</v>
      </c>
      <c r="D22" s="73">
        <v>22000</v>
      </c>
      <c r="I22" s="51" t="s">
        <v>83</v>
      </c>
    </row>
    <row r="23" spans="1:9" ht="18">
      <c r="A23" s="63" t="s">
        <v>346</v>
      </c>
      <c r="B23" s="63" t="s">
        <v>304</v>
      </c>
      <c r="C23" s="63">
        <v>105</v>
      </c>
      <c r="D23" s="73">
        <v>105000</v>
      </c>
    </row>
    <row r="25" spans="1:9">
      <c r="I25" s="72" t="s">
        <v>84</v>
      </c>
    </row>
    <row r="26" spans="1:9">
      <c r="I26" s="51" t="s">
        <v>85</v>
      </c>
    </row>
    <row r="27" spans="1:9">
      <c r="I27" s="51" t="s">
        <v>86</v>
      </c>
    </row>
    <row r="28" spans="1:9">
      <c r="I28" s="51" t="s">
        <v>87</v>
      </c>
    </row>
    <row r="29" spans="1:9">
      <c r="I29" s="51" t="s">
        <v>88</v>
      </c>
    </row>
    <row r="30" spans="1:9">
      <c r="I30" s="51" t="s">
        <v>89</v>
      </c>
    </row>
    <row r="31" spans="1:9">
      <c r="I31" s="51" t="s">
        <v>90</v>
      </c>
    </row>
    <row r="34" spans="9:9">
      <c r="I34" s="72" t="s">
        <v>91</v>
      </c>
    </row>
    <row r="35" spans="9:9">
      <c r="I35" s="51" t="s">
        <v>92</v>
      </c>
    </row>
    <row r="36" spans="9:9">
      <c r="I36" s="51" t="s">
        <v>93</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F7396-38AA-4948-B680-9099C2C287C5}">
  <dimension ref="A1:AB20"/>
  <sheetViews>
    <sheetView topLeftCell="O1" zoomScale="55" zoomScaleNormal="60" workbookViewId="0">
      <selection activeCell="Z7" sqref="Z7"/>
    </sheetView>
  </sheetViews>
  <sheetFormatPr defaultColWidth="9" defaultRowHeight="38.4"/>
  <cols>
    <col min="1" max="20" width="20.77734375" style="3" customWidth="1"/>
    <col min="21" max="21" width="19.77734375" style="3" bestFit="1" customWidth="1"/>
    <col min="22" max="22" width="44.77734375" style="3" bestFit="1" customWidth="1"/>
    <col min="23" max="23" width="33.21875" style="3" bestFit="1" customWidth="1"/>
    <col min="24" max="24" width="22" style="3" bestFit="1" customWidth="1"/>
    <col min="25" max="25" width="19.44140625" style="3" customWidth="1"/>
    <col min="26" max="26" width="17.5546875" style="3" customWidth="1"/>
    <col min="27" max="27" width="18.77734375" style="3" customWidth="1"/>
    <col min="28" max="28" width="41.5546875" style="3" customWidth="1"/>
    <col min="29" max="29" width="15.44140625" style="3" bestFit="1" customWidth="1"/>
    <col min="30" max="30" width="9" style="3"/>
    <col min="31" max="31" width="15.44140625" style="3" bestFit="1" customWidth="1"/>
    <col min="32" max="16384" width="9" style="3"/>
  </cols>
  <sheetData>
    <row r="1" spans="1:28">
      <c r="U1" s="4" t="s">
        <v>2</v>
      </c>
      <c r="V1" s="4" t="s">
        <v>0</v>
      </c>
      <c r="W1" s="4" t="s">
        <v>11</v>
      </c>
      <c r="X1" s="4" t="s">
        <v>12</v>
      </c>
      <c r="Y1" s="4" t="s">
        <v>3</v>
      </c>
      <c r="AB1" s="7" t="s">
        <v>30</v>
      </c>
    </row>
    <row r="2" spans="1:28">
      <c r="U2" s="5">
        <v>14789</v>
      </c>
      <c r="V2" s="5" t="s">
        <v>13</v>
      </c>
      <c r="W2" s="5" t="s">
        <v>14</v>
      </c>
      <c r="X2" s="6">
        <v>3119</v>
      </c>
      <c r="Y2" s="5">
        <v>59458686</v>
      </c>
      <c r="AB2" s="11">
        <f>SUM(X:X)</f>
        <v>56043</v>
      </c>
    </row>
    <row r="3" spans="1:28">
      <c r="B3" s="5">
        <v>2</v>
      </c>
      <c r="F3" s="5">
        <v>6</v>
      </c>
      <c r="U3" s="5">
        <v>14790</v>
      </c>
      <c r="V3" s="5" t="s">
        <v>15</v>
      </c>
      <c r="W3" s="5" t="s">
        <v>16</v>
      </c>
      <c r="X3" s="6">
        <v>3714</v>
      </c>
      <c r="Y3" s="5">
        <v>59458687</v>
      </c>
    </row>
    <row r="4" spans="1:28" ht="41.4">
      <c r="B4" s="10" t="s">
        <v>32</v>
      </c>
      <c r="F4" s="10" t="s">
        <v>35</v>
      </c>
      <c r="U4" s="5">
        <v>14791</v>
      </c>
      <c r="V4" s="5" t="s">
        <v>1</v>
      </c>
      <c r="W4" s="5" t="s">
        <v>17</v>
      </c>
      <c r="X4" s="6">
        <v>2463</v>
      </c>
      <c r="Y4" s="5">
        <v>59458688</v>
      </c>
    </row>
    <row r="5" spans="1:28">
      <c r="B5" s="5">
        <v>2</v>
      </c>
      <c r="F5" s="5">
        <v>2</v>
      </c>
      <c r="U5" s="5">
        <v>14792</v>
      </c>
      <c r="V5" s="5" t="s">
        <v>18</v>
      </c>
      <c r="W5" s="5" t="s">
        <v>19</v>
      </c>
      <c r="X5" s="6">
        <v>2716</v>
      </c>
      <c r="Y5" s="5">
        <v>59458689</v>
      </c>
      <c r="AB5" s="7" t="s">
        <v>31</v>
      </c>
    </row>
    <row r="6" spans="1:28">
      <c r="U6" s="5">
        <v>14793</v>
      </c>
      <c r="V6" s="5" t="s">
        <v>4</v>
      </c>
      <c r="W6" s="5" t="s">
        <v>20</v>
      </c>
      <c r="X6" s="6">
        <v>2983</v>
      </c>
      <c r="Y6" s="5">
        <v>59458690</v>
      </c>
      <c r="AB6" s="11">
        <f>COUNTA(V2:V20)</f>
        <v>19</v>
      </c>
    </row>
    <row r="7" spans="1:28" ht="41.4">
      <c r="A7" s="3" t="s">
        <v>34</v>
      </c>
      <c r="B7" s="8"/>
      <c r="C7" s="3" t="s">
        <v>33</v>
      </c>
      <c r="E7" s="3" t="s">
        <v>36</v>
      </c>
      <c r="F7" s="8"/>
      <c r="G7" s="3" t="s">
        <v>37</v>
      </c>
      <c r="J7" s="9" t="s">
        <v>34</v>
      </c>
      <c r="K7" s="11" t="s">
        <v>44</v>
      </c>
      <c r="U7" s="5">
        <v>14794</v>
      </c>
      <c r="V7" s="5" t="s">
        <v>5</v>
      </c>
      <c r="W7" s="5" t="s">
        <v>16</v>
      </c>
      <c r="X7" s="6">
        <v>2585</v>
      </c>
      <c r="Y7" s="5">
        <v>59458691</v>
      </c>
    </row>
    <row r="8" spans="1:28">
      <c r="J8" s="9" t="s">
        <v>36</v>
      </c>
      <c r="K8" s="11" t="s">
        <v>35</v>
      </c>
      <c r="U8" s="5">
        <v>14795</v>
      </c>
      <c r="V8" s="5" t="s">
        <v>21</v>
      </c>
      <c r="W8" s="5" t="s">
        <v>16</v>
      </c>
      <c r="X8" s="6">
        <v>2413</v>
      </c>
      <c r="Y8" s="5">
        <v>59458692</v>
      </c>
    </row>
    <row r="9" spans="1:28">
      <c r="J9" s="9" t="s">
        <v>39</v>
      </c>
      <c r="K9" s="11" t="s">
        <v>45</v>
      </c>
      <c r="U9" s="5">
        <v>14796</v>
      </c>
      <c r="V9" s="5" t="s">
        <v>22</v>
      </c>
      <c r="W9" s="5" t="s">
        <v>23</v>
      </c>
      <c r="X9" s="6">
        <v>3213</v>
      </c>
      <c r="Y9" s="5">
        <v>59458693</v>
      </c>
      <c r="AB9" s="7" t="s">
        <v>47</v>
      </c>
    </row>
    <row r="10" spans="1:28">
      <c r="J10" s="9" t="s">
        <v>42</v>
      </c>
      <c r="K10" s="11" t="s">
        <v>46</v>
      </c>
      <c r="U10" s="5">
        <v>14797</v>
      </c>
      <c r="V10" s="5" t="s">
        <v>24</v>
      </c>
      <c r="W10" s="5" t="s">
        <v>23</v>
      </c>
      <c r="X10" s="6">
        <v>3421</v>
      </c>
      <c r="Y10" s="5">
        <v>59458694</v>
      </c>
      <c r="AB10" s="92">
        <f>AVERAGE(X:X)</f>
        <v>2949.6315789473683</v>
      </c>
    </row>
    <row r="11" spans="1:28">
      <c r="U11" s="5">
        <v>14798</v>
      </c>
      <c r="V11" s="5" t="s">
        <v>25</v>
      </c>
      <c r="W11" s="5" t="s">
        <v>14</v>
      </c>
      <c r="X11" s="6">
        <v>3359</v>
      </c>
      <c r="Y11" s="5">
        <v>59458695</v>
      </c>
    </row>
    <row r="12" spans="1:28">
      <c r="B12" s="5">
        <v>10</v>
      </c>
      <c r="F12" s="5">
        <v>2</v>
      </c>
      <c r="U12" s="5">
        <v>14799</v>
      </c>
      <c r="V12" s="5" t="s">
        <v>6</v>
      </c>
      <c r="W12" s="5" t="s">
        <v>14</v>
      </c>
      <c r="X12" s="6">
        <v>3421</v>
      </c>
      <c r="Y12" s="5">
        <v>59458696</v>
      </c>
    </row>
    <row r="13" spans="1:28" ht="41.4">
      <c r="B13" s="10" t="s">
        <v>38</v>
      </c>
      <c r="F13" s="10" t="s">
        <v>41</v>
      </c>
      <c r="U13" s="5">
        <v>14800</v>
      </c>
      <c r="V13" s="5" t="s">
        <v>7</v>
      </c>
      <c r="W13" s="5" t="s">
        <v>16</v>
      </c>
      <c r="X13" s="6">
        <v>2036</v>
      </c>
      <c r="Y13" s="5">
        <v>59458697</v>
      </c>
      <c r="AB13" s="7" t="s">
        <v>94</v>
      </c>
    </row>
    <row r="14" spans="1:28">
      <c r="B14" s="5">
        <v>2</v>
      </c>
      <c r="F14" s="5">
        <v>5</v>
      </c>
      <c r="U14" s="5">
        <v>14801</v>
      </c>
      <c r="V14" s="5" t="s">
        <v>8</v>
      </c>
      <c r="W14" s="5" t="s">
        <v>16</v>
      </c>
      <c r="X14" s="6">
        <v>2721</v>
      </c>
      <c r="Y14" s="5">
        <v>59458698</v>
      </c>
      <c r="AB14" s="11">
        <f>MAX(X:X)</f>
        <v>3958</v>
      </c>
    </row>
    <row r="15" spans="1:28">
      <c r="U15" s="5">
        <v>14802</v>
      </c>
      <c r="V15" s="5" t="s">
        <v>26</v>
      </c>
      <c r="W15" s="5" t="s">
        <v>16</v>
      </c>
      <c r="X15" s="6">
        <v>2611</v>
      </c>
      <c r="Y15" s="5">
        <v>59458699</v>
      </c>
    </row>
    <row r="16" spans="1:28" ht="41.4">
      <c r="A16" s="3" t="s">
        <v>39</v>
      </c>
      <c r="B16" s="8"/>
      <c r="C16" s="3" t="s">
        <v>40</v>
      </c>
      <c r="E16" s="3" t="s">
        <v>42</v>
      </c>
      <c r="F16" s="8"/>
      <c r="G16" s="3" t="s">
        <v>43</v>
      </c>
      <c r="U16" s="5">
        <v>14803</v>
      </c>
      <c r="V16" s="5" t="s">
        <v>27</v>
      </c>
      <c r="W16" s="5" t="s">
        <v>16</v>
      </c>
      <c r="X16" s="6">
        <v>3650</v>
      </c>
      <c r="Y16" s="5">
        <v>59458700</v>
      </c>
    </row>
    <row r="17" spans="21:28">
      <c r="U17" s="5">
        <v>14804</v>
      </c>
      <c r="V17" s="5" t="s">
        <v>28</v>
      </c>
      <c r="W17" s="5" t="s">
        <v>16</v>
      </c>
      <c r="X17" s="6">
        <v>2040</v>
      </c>
      <c r="Y17" s="5">
        <v>59458701</v>
      </c>
      <c r="AB17" s="7" t="s">
        <v>95</v>
      </c>
    </row>
    <row r="18" spans="21:28">
      <c r="U18" s="5">
        <v>14805</v>
      </c>
      <c r="V18" s="5" t="s">
        <v>29</v>
      </c>
      <c r="W18" s="5" t="s">
        <v>20</v>
      </c>
      <c r="X18" s="6">
        <v>2854</v>
      </c>
      <c r="Y18" s="5">
        <v>59458702</v>
      </c>
      <c r="AB18" s="11">
        <f>MIN(X:X)</f>
        <v>2036</v>
      </c>
    </row>
    <row r="19" spans="21:28">
      <c r="U19" s="5">
        <v>14806</v>
      </c>
      <c r="V19" s="5" t="s">
        <v>9</v>
      </c>
      <c r="W19" s="5" t="s">
        <v>14</v>
      </c>
      <c r="X19" s="6">
        <v>2766</v>
      </c>
      <c r="Y19" s="5">
        <v>59458703</v>
      </c>
    </row>
    <row r="20" spans="21:28">
      <c r="U20" s="5">
        <v>14807</v>
      </c>
      <c r="V20" s="5" t="s">
        <v>10</v>
      </c>
      <c r="W20" s="5" t="s">
        <v>16</v>
      </c>
      <c r="X20" s="6">
        <v>3958</v>
      </c>
      <c r="Y20" s="5">
        <v>59458704</v>
      </c>
    </row>
  </sheetData>
  <conditionalFormatting sqref="V1:V1048576">
    <cfRule type="duplicateValues" dxfId="4" priority="2"/>
  </conditionalFormatting>
  <conditionalFormatting sqref="Y1:Y1048576">
    <cfRule type="duplicateValues" dxfId="3" priority="1"/>
  </conditionalFormatting>
  <pageMargins left="0.7" right="0.7" top="0.75" bottom="0.75" header="0.3" footer="0.3"/>
  <pageSetup paperSize="9" orientation="portrait" horizontalDpi="4294967295" verticalDpi="4294967295"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6A75-3FC9-47EA-8063-44B87C08598F}">
  <dimension ref="A1:J31"/>
  <sheetViews>
    <sheetView zoomScale="90" zoomScaleNormal="90" workbookViewId="0">
      <selection activeCell="G3" sqref="G3"/>
    </sheetView>
  </sheetViews>
  <sheetFormatPr defaultColWidth="20.77734375" defaultRowHeight="18"/>
  <cols>
    <col min="1" max="1" width="11" style="61" bestFit="1" customWidth="1"/>
    <col min="2" max="2" width="28.21875" style="61" bestFit="1" customWidth="1"/>
    <col min="3" max="3" width="19.5546875" style="61" customWidth="1"/>
    <col min="4" max="4" width="10.21875" style="61" bestFit="1" customWidth="1"/>
    <col min="5" max="5" width="21.77734375" style="61" bestFit="1" customWidth="1"/>
    <col min="6" max="6" width="11" style="60" customWidth="1"/>
    <col min="7" max="7" width="35.44140625" style="60" customWidth="1"/>
    <col min="8" max="8" width="16.77734375" style="60" customWidth="1"/>
    <col min="9" max="9" width="13.44140625" style="60" bestFit="1" customWidth="1"/>
    <col min="10" max="10" width="22.44140625" style="60" bestFit="1" customWidth="1"/>
    <col min="11" max="16384" width="20.77734375" style="60"/>
  </cols>
  <sheetData>
    <row r="1" spans="1:10" ht="15.6">
      <c r="A1" s="64" t="s">
        <v>262</v>
      </c>
      <c r="B1" s="64" t="s">
        <v>263</v>
      </c>
      <c r="C1" s="64" t="s">
        <v>264</v>
      </c>
      <c r="D1" s="64" t="s">
        <v>265</v>
      </c>
      <c r="E1" s="64" t="s">
        <v>266</v>
      </c>
    </row>
    <row r="2" spans="1:10">
      <c r="A2" s="43">
        <v>30</v>
      </c>
      <c r="B2" s="43" t="s">
        <v>267</v>
      </c>
      <c r="C2" s="43" t="s">
        <v>268</v>
      </c>
      <c r="D2" s="43">
        <v>10200</v>
      </c>
      <c r="E2" s="43">
        <v>1030123456</v>
      </c>
      <c r="G2" s="76" t="s">
        <v>268</v>
      </c>
    </row>
    <row r="3" spans="1:10" ht="21">
      <c r="A3" s="43">
        <v>29</v>
      </c>
      <c r="B3" s="43" t="s">
        <v>269</v>
      </c>
      <c r="C3" s="43" t="s">
        <v>270</v>
      </c>
      <c r="D3" s="43">
        <v>10500</v>
      </c>
      <c r="E3" s="43">
        <v>1029012345</v>
      </c>
      <c r="G3" s="77">
        <f>SUMIF(C:C,"Project Manager",D:D)</f>
        <v>94500</v>
      </c>
      <c r="I3" s="65" t="s">
        <v>96</v>
      </c>
      <c r="J3" s="49"/>
    </row>
    <row r="4" spans="1:10" ht="21">
      <c r="A4" s="43">
        <v>28</v>
      </c>
      <c r="B4" s="43" t="s">
        <v>271</v>
      </c>
      <c r="C4" s="43" t="s">
        <v>272</v>
      </c>
      <c r="D4" s="43">
        <v>9800</v>
      </c>
      <c r="E4" s="43">
        <v>1028901234</v>
      </c>
      <c r="I4" s="49" t="s">
        <v>111</v>
      </c>
      <c r="J4" s="49" t="s">
        <v>112</v>
      </c>
    </row>
    <row r="5" spans="1:10" ht="21">
      <c r="A5" s="43">
        <v>27</v>
      </c>
      <c r="B5" s="43" t="s">
        <v>273</v>
      </c>
      <c r="C5" s="43" t="s">
        <v>274</v>
      </c>
      <c r="D5" s="43">
        <v>9500</v>
      </c>
      <c r="E5" s="43">
        <v>1027890123</v>
      </c>
      <c r="I5" s="49" t="s">
        <v>113</v>
      </c>
      <c r="J5" s="49" t="s">
        <v>114</v>
      </c>
    </row>
    <row r="6" spans="1:10" ht="21">
      <c r="A6" s="43">
        <v>26</v>
      </c>
      <c r="B6" s="43" t="s">
        <v>275</v>
      </c>
      <c r="C6" s="43" t="s">
        <v>268</v>
      </c>
      <c r="D6" s="43">
        <v>9000</v>
      </c>
      <c r="E6" s="43">
        <v>1026789012</v>
      </c>
      <c r="G6" s="76" t="s">
        <v>270</v>
      </c>
      <c r="I6" s="49" t="s">
        <v>115</v>
      </c>
      <c r="J6" s="49" t="s">
        <v>116</v>
      </c>
    </row>
    <row r="7" spans="1:10">
      <c r="A7" s="43">
        <v>25</v>
      </c>
      <c r="B7" s="43" t="s">
        <v>276</v>
      </c>
      <c r="C7" s="43" t="s">
        <v>274</v>
      </c>
      <c r="D7" s="43">
        <v>10800</v>
      </c>
      <c r="E7" s="43">
        <v>1025678901</v>
      </c>
      <c r="G7" s="77">
        <f>SUMIF(C:C,G6,D:D)</f>
        <v>69500</v>
      </c>
    </row>
    <row r="8" spans="1:10" ht="15.6">
      <c r="A8" s="43">
        <v>24</v>
      </c>
      <c r="B8" s="43" t="s">
        <v>277</v>
      </c>
      <c r="C8" s="43" t="s">
        <v>272</v>
      </c>
      <c r="D8" s="43">
        <v>7500</v>
      </c>
      <c r="E8" s="43">
        <v>1024567890</v>
      </c>
    </row>
    <row r="9" spans="1:10" ht="15.6">
      <c r="A9" s="43">
        <v>23</v>
      </c>
      <c r="B9" s="43" t="s">
        <v>278</v>
      </c>
      <c r="C9" s="43" t="s">
        <v>270</v>
      </c>
      <c r="D9" s="43">
        <v>8500</v>
      </c>
      <c r="E9" s="43">
        <v>1023456789</v>
      </c>
    </row>
    <row r="10" spans="1:10">
      <c r="A10" s="43">
        <v>22</v>
      </c>
      <c r="B10" s="43" t="s">
        <v>279</v>
      </c>
      <c r="C10" s="43" t="s">
        <v>274</v>
      </c>
      <c r="D10" s="43">
        <v>10000</v>
      </c>
      <c r="E10" s="43">
        <v>1022345678</v>
      </c>
      <c r="G10" s="76" t="s">
        <v>274</v>
      </c>
    </row>
    <row r="11" spans="1:10">
      <c r="A11" s="43">
        <v>21</v>
      </c>
      <c r="B11" s="43" t="s">
        <v>280</v>
      </c>
      <c r="C11" s="43" t="s">
        <v>268</v>
      </c>
      <c r="D11" s="43">
        <v>14500</v>
      </c>
      <c r="E11" s="43">
        <v>1021234567</v>
      </c>
      <c r="G11" s="77">
        <f>SUMIFS(D:D,C:C,G10)</f>
        <v>80000</v>
      </c>
    </row>
    <row r="12" spans="1:10" ht="15.6">
      <c r="A12" s="43">
        <v>20</v>
      </c>
      <c r="B12" s="43" t="s">
        <v>281</v>
      </c>
      <c r="C12" s="43" t="s">
        <v>272</v>
      </c>
      <c r="D12" s="43">
        <v>11500</v>
      </c>
      <c r="E12" s="43">
        <v>1020123456</v>
      </c>
    </row>
    <row r="13" spans="1:10" ht="15.6">
      <c r="A13" s="43">
        <v>19</v>
      </c>
      <c r="B13" s="43" t="s">
        <v>282</v>
      </c>
      <c r="C13" s="43" t="s">
        <v>274</v>
      </c>
      <c r="D13" s="43">
        <v>13500</v>
      </c>
      <c r="E13" s="43">
        <v>1019012345</v>
      </c>
    </row>
    <row r="14" spans="1:10" ht="15.6">
      <c r="A14" s="43">
        <v>18</v>
      </c>
      <c r="B14" s="43" t="s">
        <v>283</v>
      </c>
      <c r="C14" s="43" t="s">
        <v>268</v>
      </c>
      <c r="D14" s="43">
        <v>14000</v>
      </c>
      <c r="E14" s="43">
        <v>1018901234</v>
      </c>
    </row>
    <row r="15" spans="1:10" ht="15.6">
      <c r="A15" s="43">
        <v>17</v>
      </c>
      <c r="B15" s="43" t="s">
        <v>284</v>
      </c>
      <c r="C15" s="43" t="s">
        <v>272</v>
      </c>
      <c r="D15" s="43">
        <v>15000</v>
      </c>
      <c r="E15" s="43">
        <v>1017890123</v>
      </c>
    </row>
    <row r="16" spans="1:10" ht="15.6">
      <c r="A16" s="43">
        <v>16</v>
      </c>
      <c r="B16" s="43" t="s">
        <v>285</v>
      </c>
      <c r="C16" s="43" t="s">
        <v>270</v>
      </c>
      <c r="D16" s="43">
        <v>12500</v>
      </c>
      <c r="E16" s="43">
        <v>1016789012</v>
      </c>
    </row>
    <row r="17" spans="1:5" ht="15.6">
      <c r="A17" s="43">
        <v>15</v>
      </c>
      <c r="B17" s="43" t="s">
        <v>286</v>
      </c>
      <c r="C17" s="43" t="s">
        <v>268</v>
      </c>
      <c r="D17" s="43">
        <v>7800</v>
      </c>
      <c r="E17" s="43">
        <v>1015678901</v>
      </c>
    </row>
    <row r="18" spans="1:5" ht="15.6">
      <c r="A18" s="43">
        <v>14</v>
      </c>
      <c r="B18" s="43" t="s">
        <v>287</v>
      </c>
      <c r="C18" s="43" t="s">
        <v>274</v>
      </c>
      <c r="D18" s="43">
        <v>9200</v>
      </c>
      <c r="E18" s="43">
        <v>1014567890</v>
      </c>
    </row>
    <row r="19" spans="1:5" ht="15.6">
      <c r="A19" s="43">
        <v>13</v>
      </c>
      <c r="B19" s="43" t="s">
        <v>288</v>
      </c>
      <c r="C19" s="43" t="s">
        <v>272</v>
      </c>
      <c r="D19" s="43">
        <v>10500</v>
      </c>
      <c r="E19" s="43">
        <v>1013456789</v>
      </c>
    </row>
    <row r="20" spans="1:5" ht="15.6">
      <c r="A20" s="43">
        <v>12</v>
      </c>
      <c r="B20" s="43" t="s">
        <v>289</v>
      </c>
      <c r="C20" s="43" t="s">
        <v>270</v>
      </c>
      <c r="D20" s="43">
        <v>14500</v>
      </c>
      <c r="E20" s="43">
        <v>1012345678</v>
      </c>
    </row>
    <row r="21" spans="1:5" ht="15.6">
      <c r="A21" s="43">
        <v>11</v>
      </c>
      <c r="B21" s="43" t="s">
        <v>290</v>
      </c>
      <c r="C21" s="43" t="s">
        <v>268</v>
      </c>
      <c r="D21" s="43">
        <v>11000</v>
      </c>
      <c r="E21" s="43">
        <v>1011234567</v>
      </c>
    </row>
    <row r="22" spans="1:5" ht="15.6">
      <c r="A22" s="43">
        <v>10</v>
      </c>
      <c r="B22" s="43" t="s">
        <v>291</v>
      </c>
      <c r="C22" s="43" t="s">
        <v>274</v>
      </c>
      <c r="D22" s="43">
        <v>10000</v>
      </c>
      <c r="E22" s="43">
        <v>1010123456</v>
      </c>
    </row>
    <row r="23" spans="1:5" ht="15.6">
      <c r="A23" s="43">
        <v>9</v>
      </c>
      <c r="B23" s="43" t="s">
        <v>292</v>
      </c>
      <c r="C23" s="43" t="s">
        <v>272</v>
      </c>
      <c r="D23" s="43">
        <v>8500</v>
      </c>
      <c r="E23" s="43">
        <v>1009012345</v>
      </c>
    </row>
    <row r="24" spans="1:5" ht="15.6">
      <c r="A24" s="43">
        <v>8</v>
      </c>
      <c r="B24" s="43" t="s">
        <v>293</v>
      </c>
      <c r="C24" s="43" t="s">
        <v>268</v>
      </c>
      <c r="D24" s="43">
        <v>13000</v>
      </c>
      <c r="E24" s="43">
        <v>1008901234</v>
      </c>
    </row>
    <row r="25" spans="1:5" ht="15.6">
      <c r="A25" s="43">
        <v>7</v>
      </c>
      <c r="B25" s="43" t="s">
        <v>294</v>
      </c>
      <c r="C25" s="43" t="s">
        <v>270</v>
      </c>
      <c r="D25" s="43">
        <v>9500</v>
      </c>
      <c r="E25" s="43">
        <v>1007890123</v>
      </c>
    </row>
    <row r="26" spans="1:5" ht="15.6">
      <c r="A26" s="43">
        <v>6</v>
      </c>
      <c r="B26" s="43" t="s">
        <v>295</v>
      </c>
      <c r="C26" s="43" t="s">
        <v>274</v>
      </c>
      <c r="D26" s="43">
        <v>9000</v>
      </c>
      <c r="E26" s="43">
        <v>1006789012</v>
      </c>
    </row>
    <row r="27" spans="1:5" ht="15.6">
      <c r="A27" s="43">
        <v>5</v>
      </c>
      <c r="B27" s="43" t="s">
        <v>296</v>
      </c>
      <c r="C27" s="43" t="s">
        <v>272</v>
      </c>
      <c r="D27" s="43">
        <v>11000</v>
      </c>
      <c r="E27" s="43">
        <v>1005678901</v>
      </c>
    </row>
    <row r="28" spans="1:5" ht="15.6">
      <c r="A28" s="43">
        <v>4</v>
      </c>
      <c r="B28" s="43" t="s">
        <v>297</v>
      </c>
      <c r="C28" s="43" t="s">
        <v>270</v>
      </c>
      <c r="D28" s="43">
        <v>14000</v>
      </c>
      <c r="E28" s="43">
        <v>1004567890</v>
      </c>
    </row>
    <row r="29" spans="1:5" ht="15.6">
      <c r="A29" s="43">
        <v>3</v>
      </c>
      <c r="B29" s="43" t="s">
        <v>298</v>
      </c>
      <c r="C29" s="43" t="s">
        <v>274</v>
      </c>
      <c r="D29" s="43">
        <v>8000</v>
      </c>
      <c r="E29" s="43">
        <v>1003456789</v>
      </c>
    </row>
    <row r="30" spans="1:5" ht="15.6">
      <c r="A30" s="43">
        <v>2</v>
      </c>
      <c r="B30" s="43" t="s">
        <v>299</v>
      </c>
      <c r="C30" s="43" t="s">
        <v>272</v>
      </c>
      <c r="D30" s="43">
        <v>12000</v>
      </c>
      <c r="E30" s="43">
        <v>1002345678</v>
      </c>
    </row>
    <row r="31" spans="1:5" ht="15.6">
      <c r="A31" s="43">
        <v>1</v>
      </c>
      <c r="B31" s="43" t="s">
        <v>300</v>
      </c>
      <c r="C31" s="43" t="s">
        <v>268</v>
      </c>
      <c r="D31" s="43">
        <v>15000</v>
      </c>
      <c r="E31" s="43">
        <v>1001234567</v>
      </c>
    </row>
  </sheetData>
  <conditionalFormatting sqref="B32:B1048576">
    <cfRule type="duplicateValues" dxfId="2" priority="1"/>
    <cfRule type="duplicateValues" dxfId="1" priority="3"/>
  </conditionalFormatting>
  <conditionalFormatting sqref="E32:E1048576">
    <cfRule type="duplicateValues" dxfId="0"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64E6A-A0D7-4AB9-BBE2-81D97BDD4EA3}">
  <dimension ref="A1:L101"/>
  <sheetViews>
    <sheetView topLeftCell="C1" zoomScale="113" zoomScaleNormal="90" workbookViewId="0">
      <pane ySplit="1" topLeftCell="A2" activePane="bottomLeft" state="frozen"/>
      <selection pane="bottomLeft" activeCell="J9" sqref="J9"/>
    </sheetView>
  </sheetViews>
  <sheetFormatPr defaultColWidth="20.77734375" defaultRowHeight="15.6"/>
  <cols>
    <col min="1" max="1" width="12.44140625" style="60" bestFit="1" customWidth="1"/>
    <col min="2" max="2" width="13.44140625" style="60" bestFit="1" customWidth="1"/>
    <col min="3" max="3" width="19.44140625" style="60" customWidth="1"/>
    <col min="4" max="4" width="13.77734375" style="60" bestFit="1" customWidth="1"/>
    <col min="5" max="5" width="19" style="60" bestFit="1" customWidth="1"/>
    <col min="6" max="6" width="15.77734375" style="60" customWidth="1"/>
    <col min="7" max="7" width="20.77734375" style="60" customWidth="1"/>
    <col min="8" max="8" width="23.5546875" style="60" customWidth="1"/>
    <col min="9" max="9" width="38.21875" style="60" customWidth="1"/>
    <col min="10" max="10" width="49" style="60" customWidth="1"/>
    <col min="11" max="12" width="20.77734375" style="60"/>
    <col min="13" max="13" width="32.44140625" style="60" customWidth="1"/>
    <col min="14" max="16384" width="20.77734375" style="60"/>
  </cols>
  <sheetData>
    <row r="1" spans="1:12" ht="18">
      <c r="A1" s="67" t="s">
        <v>301</v>
      </c>
      <c r="B1" s="78" t="s">
        <v>320</v>
      </c>
      <c r="C1" s="78" t="s">
        <v>319</v>
      </c>
      <c r="D1" s="78" t="s">
        <v>302</v>
      </c>
      <c r="E1" s="78" t="s">
        <v>303</v>
      </c>
      <c r="G1" s="104" t="s">
        <v>347</v>
      </c>
      <c r="H1" s="104"/>
      <c r="I1" s="104"/>
      <c r="J1" s="104"/>
      <c r="K1" s="104"/>
    </row>
    <row r="2" spans="1:12">
      <c r="A2" s="43">
        <v>63</v>
      </c>
      <c r="B2" s="43" t="s">
        <v>308</v>
      </c>
      <c r="C2" s="43" t="s">
        <v>309</v>
      </c>
      <c r="D2" s="75">
        <v>25</v>
      </c>
      <c r="E2" s="75">
        <v>2500</v>
      </c>
    </row>
    <row r="3" spans="1:12">
      <c r="A3" s="43">
        <v>96</v>
      </c>
      <c r="B3" s="43" t="s">
        <v>304</v>
      </c>
      <c r="C3" s="43" t="s">
        <v>314</v>
      </c>
      <c r="D3" s="75">
        <v>57</v>
      </c>
      <c r="E3" s="75">
        <v>5700</v>
      </c>
    </row>
    <row r="4" spans="1:12">
      <c r="A4" s="43">
        <v>92</v>
      </c>
      <c r="B4" s="43" t="s">
        <v>306</v>
      </c>
      <c r="C4" s="43" t="s">
        <v>307</v>
      </c>
      <c r="D4" s="75">
        <v>26</v>
      </c>
      <c r="E4" s="75">
        <v>2600</v>
      </c>
    </row>
    <row r="5" spans="1:12">
      <c r="A5" s="43">
        <v>6</v>
      </c>
      <c r="B5" s="43" t="s">
        <v>304</v>
      </c>
      <c r="C5" s="43" t="s">
        <v>314</v>
      </c>
      <c r="D5" s="75">
        <v>15</v>
      </c>
      <c r="E5" s="75">
        <v>1500</v>
      </c>
    </row>
    <row r="6" spans="1:12">
      <c r="A6" s="43">
        <v>45</v>
      </c>
      <c r="B6" s="43" t="s">
        <v>312</v>
      </c>
      <c r="C6" s="43" t="s">
        <v>313</v>
      </c>
      <c r="D6" s="75">
        <v>37</v>
      </c>
      <c r="E6" s="75">
        <v>3700</v>
      </c>
    </row>
    <row r="7" spans="1:12">
      <c r="A7" s="43">
        <v>36</v>
      </c>
      <c r="B7" s="43" t="s">
        <v>304</v>
      </c>
      <c r="C7" s="43" t="s">
        <v>314</v>
      </c>
      <c r="D7" s="75">
        <v>50</v>
      </c>
      <c r="E7" s="75">
        <v>5000</v>
      </c>
      <c r="G7" s="64" t="s">
        <v>319</v>
      </c>
      <c r="H7" s="64" t="s">
        <v>320</v>
      </c>
      <c r="I7" s="66" t="s">
        <v>321</v>
      </c>
      <c r="J7" s="66" t="s">
        <v>302</v>
      </c>
    </row>
    <row r="8" spans="1:12">
      <c r="A8" s="43">
        <v>79</v>
      </c>
      <c r="B8" s="43" t="s">
        <v>310</v>
      </c>
      <c r="C8" s="43" t="s">
        <v>317</v>
      </c>
      <c r="D8" s="75">
        <v>41</v>
      </c>
      <c r="E8" s="75">
        <v>4100</v>
      </c>
      <c r="G8" s="43" t="s">
        <v>314</v>
      </c>
      <c r="H8" s="43" t="s">
        <v>304</v>
      </c>
      <c r="I8" s="75">
        <f>SUMIFS(E:E,C:C,G8,B:B,H8)</f>
        <v>45000</v>
      </c>
      <c r="J8" s="75">
        <f>SUMIFS(D:D,C:C,G8,B:B,H8)</f>
        <v>450</v>
      </c>
    </row>
    <row r="9" spans="1:12">
      <c r="A9" s="43">
        <v>54</v>
      </c>
      <c r="B9" s="43" t="s">
        <v>310</v>
      </c>
      <c r="C9" s="43" t="s">
        <v>311</v>
      </c>
      <c r="D9" s="75">
        <v>36</v>
      </c>
      <c r="E9" s="75">
        <v>3600</v>
      </c>
      <c r="G9" s="43" t="s">
        <v>311</v>
      </c>
      <c r="H9" s="43" t="s">
        <v>310</v>
      </c>
      <c r="I9" s="75">
        <f t="shared" ref="I9:I12" si="0">SUMIFS(E:E,C:C,G9,B:B,H9)</f>
        <v>36000</v>
      </c>
      <c r="J9" s="75"/>
    </row>
    <row r="10" spans="1:12">
      <c r="A10" s="43">
        <v>90</v>
      </c>
      <c r="B10" s="43" t="s">
        <v>312</v>
      </c>
      <c r="C10" s="43" t="s">
        <v>318</v>
      </c>
      <c r="D10" s="75">
        <v>44</v>
      </c>
      <c r="E10" s="75">
        <v>4400</v>
      </c>
      <c r="G10" s="43" t="s">
        <v>313</v>
      </c>
      <c r="H10" s="43" t="s">
        <v>312</v>
      </c>
      <c r="I10" s="75">
        <f t="shared" si="0"/>
        <v>39000</v>
      </c>
      <c r="J10" s="75"/>
    </row>
    <row r="11" spans="1:12">
      <c r="A11" s="43">
        <v>25</v>
      </c>
      <c r="B11" s="43" t="s">
        <v>312</v>
      </c>
      <c r="C11" s="43" t="s">
        <v>313</v>
      </c>
      <c r="D11" s="75">
        <v>28</v>
      </c>
      <c r="E11" s="75">
        <v>2800</v>
      </c>
      <c r="G11" s="43" t="s">
        <v>309</v>
      </c>
      <c r="H11" s="43" t="s">
        <v>308</v>
      </c>
      <c r="I11" s="75">
        <f t="shared" si="0"/>
        <v>26100</v>
      </c>
      <c r="J11" s="75"/>
    </row>
    <row r="12" spans="1:12">
      <c r="A12" s="43">
        <v>27</v>
      </c>
      <c r="B12" s="43" t="s">
        <v>306</v>
      </c>
      <c r="C12" s="43" t="s">
        <v>315</v>
      </c>
      <c r="D12" s="75">
        <v>34</v>
      </c>
      <c r="E12" s="75">
        <v>3400</v>
      </c>
      <c r="G12" s="43" t="s">
        <v>307</v>
      </c>
      <c r="H12" s="43" t="s">
        <v>306</v>
      </c>
      <c r="I12" s="75">
        <f t="shared" si="0"/>
        <v>29400</v>
      </c>
      <c r="J12" s="75"/>
    </row>
    <row r="13" spans="1:12">
      <c r="A13" s="43">
        <v>94</v>
      </c>
      <c r="B13" s="43" t="s">
        <v>310</v>
      </c>
      <c r="C13" s="43" t="s">
        <v>311</v>
      </c>
      <c r="D13" s="75">
        <v>34</v>
      </c>
      <c r="E13" s="75">
        <v>3400</v>
      </c>
      <c r="G13"/>
      <c r="H13"/>
      <c r="I13"/>
      <c r="J13"/>
      <c r="K13"/>
      <c r="L13"/>
    </row>
    <row r="14" spans="1:12">
      <c r="A14" s="43">
        <v>50</v>
      </c>
      <c r="B14" s="43" t="s">
        <v>312</v>
      </c>
      <c r="C14" s="43" t="s">
        <v>318</v>
      </c>
      <c r="D14" s="75">
        <v>33</v>
      </c>
      <c r="E14" s="75">
        <v>3300</v>
      </c>
      <c r="G14"/>
      <c r="H14"/>
      <c r="I14"/>
      <c r="J14"/>
      <c r="K14"/>
      <c r="L14"/>
    </row>
    <row r="15" spans="1:12">
      <c r="A15" s="43">
        <v>19</v>
      </c>
      <c r="B15" s="43" t="s">
        <v>310</v>
      </c>
      <c r="C15" s="43" t="s">
        <v>317</v>
      </c>
      <c r="D15" s="75">
        <v>47</v>
      </c>
      <c r="E15" s="75">
        <v>4700</v>
      </c>
      <c r="G15"/>
      <c r="H15"/>
      <c r="I15"/>
      <c r="J15"/>
      <c r="K15"/>
      <c r="L15"/>
    </row>
    <row r="16" spans="1:12" ht="15" customHeight="1">
      <c r="A16" s="43">
        <v>60</v>
      </c>
      <c r="B16" s="43" t="s">
        <v>312</v>
      </c>
      <c r="C16" s="43" t="s">
        <v>318</v>
      </c>
      <c r="D16" s="75">
        <v>50</v>
      </c>
      <c r="E16" s="75">
        <v>5000</v>
      </c>
      <c r="G16"/>
      <c r="H16" s="105" t="s">
        <v>348</v>
      </c>
      <c r="I16" s="105"/>
      <c r="J16" s="105"/>
      <c r="K16"/>
      <c r="L16"/>
    </row>
    <row r="17" spans="1:12" ht="15" customHeight="1">
      <c r="A17" s="43">
        <v>3</v>
      </c>
      <c r="B17" s="43" t="s">
        <v>308</v>
      </c>
      <c r="C17" s="43" t="s">
        <v>309</v>
      </c>
      <c r="D17" s="75">
        <v>20</v>
      </c>
      <c r="E17" s="75">
        <v>2000</v>
      </c>
      <c r="G17"/>
      <c r="H17" s="105"/>
      <c r="I17" s="105"/>
      <c r="J17" s="105"/>
      <c r="K17"/>
      <c r="L17"/>
    </row>
    <row r="18" spans="1:12" ht="15" customHeight="1">
      <c r="A18" s="43">
        <v>87</v>
      </c>
      <c r="B18" s="43" t="s">
        <v>306</v>
      </c>
      <c r="C18" s="43" t="s">
        <v>315</v>
      </c>
      <c r="D18" s="75">
        <v>35</v>
      </c>
      <c r="E18" s="75">
        <v>3500</v>
      </c>
      <c r="G18"/>
      <c r="H18" s="105"/>
      <c r="I18" s="105"/>
      <c r="J18" s="105"/>
      <c r="K18"/>
      <c r="L18"/>
    </row>
    <row r="19" spans="1:12" ht="15" customHeight="1">
      <c r="A19" s="43">
        <v>42</v>
      </c>
      <c r="B19" s="43" t="s">
        <v>306</v>
      </c>
      <c r="C19" s="43" t="s">
        <v>307</v>
      </c>
      <c r="D19" s="75">
        <v>35</v>
      </c>
      <c r="E19" s="75">
        <v>3500</v>
      </c>
      <c r="G19"/>
      <c r="H19" s="105"/>
      <c r="I19" s="105"/>
      <c r="J19" s="105"/>
      <c r="K19"/>
      <c r="L19"/>
    </row>
    <row r="20" spans="1:12" ht="15" customHeight="1">
      <c r="A20" s="43">
        <v>33</v>
      </c>
      <c r="B20" s="43" t="s">
        <v>308</v>
      </c>
      <c r="C20" s="43" t="s">
        <v>309</v>
      </c>
      <c r="D20" s="75">
        <v>25</v>
      </c>
      <c r="E20" s="75">
        <v>2500</v>
      </c>
      <c r="G20" s="40"/>
      <c r="H20" s="105"/>
      <c r="I20" s="105"/>
      <c r="J20" s="105"/>
    </row>
    <row r="21" spans="1:12" ht="15" customHeight="1">
      <c r="A21" s="43">
        <v>11</v>
      </c>
      <c r="B21" s="43" t="s">
        <v>304</v>
      </c>
      <c r="C21" s="43" t="s">
        <v>305</v>
      </c>
      <c r="D21" s="75">
        <v>22</v>
      </c>
      <c r="E21" s="75">
        <v>2200</v>
      </c>
      <c r="G21" s="40"/>
      <c r="H21" s="105"/>
      <c r="I21" s="105"/>
      <c r="J21" s="105"/>
    </row>
    <row r="22" spans="1:12">
      <c r="A22" s="43">
        <v>65</v>
      </c>
      <c r="B22" s="43" t="s">
        <v>312</v>
      </c>
      <c r="C22" s="43" t="s">
        <v>313</v>
      </c>
      <c r="D22" s="75">
        <v>42</v>
      </c>
      <c r="E22" s="75">
        <v>4200</v>
      </c>
      <c r="G22" s="40"/>
      <c r="H22" s="105"/>
      <c r="I22" s="105"/>
      <c r="J22" s="105"/>
    </row>
    <row r="23" spans="1:12">
      <c r="A23" s="43">
        <v>43</v>
      </c>
      <c r="B23" s="43" t="s">
        <v>308</v>
      </c>
      <c r="C23" s="43" t="s">
        <v>309</v>
      </c>
      <c r="D23" s="75">
        <v>28</v>
      </c>
      <c r="E23" s="75">
        <v>2800</v>
      </c>
      <c r="H23" s="105"/>
      <c r="I23" s="105"/>
      <c r="J23" s="105"/>
    </row>
    <row r="24" spans="1:12">
      <c r="A24" s="43">
        <v>35</v>
      </c>
      <c r="B24" s="43" t="s">
        <v>312</v>
      </c>
      <c r="C24" s="43" t="s">
        <v>313</v>
      </c>
      <c r="D24" s="75">
        <v>40</v>
      </c>
      <c r="E24" s="75">
        <v>4000</v>
      </c>
      <c r="H24" s="105"/>
      <c r="I24" s="105"/>
      <c r="J24" s="105"/>
    </row>
    <row r="25" spans="1:12">
      <c r="A25" s="43">
        <v>73</v>
      </c>
      <c r="B25" s="43" t="s">
        <v>308</v>
      </c>
      <c r="C25" s="43" t="s">
        <v>309</v>
      </c>
      <c r="D25" s="75">
        <v>31</v>
      </c>
      <c r="E25" s="75">
        <v>3100</v>
      </c>
      <c r="H25" s="105"/>
      <c r="I25" s="105"/>
      <c r="J25" s="105"/>
    </row>
    <row r="26" spans="1:12">
      <c r="A26" s="43">
        <v>44</v>
      </c>
      <c r="B26" s="43" t="s">
        <v>310</v>
      </c>
      <c r="C26" s="43" t="s">
        <v>311</v>
      </c>
      <c r="D26" s="75">
        <v>51</v>
      </c>
      <c r="E26" s="75">
        <v>5100</v>
      </c>
      <c r="H26" s="105"/>
      <c r="I26" s="105"/>
      <c r="J26" s="105"/>
    </row>
    <row r="27" spans="1:12">
      <c r="A27" s="43">
        <v>39</v>
      </c>
      <c r="B27" s="43" t="s">
        <v>310</v>
      </c>
      <c r="C27" s="43" t="s">
        <v>317</v>
      </c>
      <c r="D27" s="75">
        <v>29</v>
      </c>
      <c r="E27" s="75">
        <v>2900</v>
      </c>
      <c r="H27" s="105"/>
      <c r="I27" s="105"/>
      <c r="J27" s="105"/>
    </row>
    <row r="28" spans="1:12">
      <c r="A28" s="43">
        <v>57</v>
      </c>
      <c r="B28" s="43" t="s">
        <v>306</v>
      </c>
      <c r="C28" s="43" t="s">
        <v>315</v>
      </c>
      <c r="D28" s="75">
        <v>27</v>
      </c>
      <c r="E28" s="75">
        <v>2700</v>
      </c>
    </row>
    <row r="29" spans="1:12">
      <c r="A29" s="43">
        <v>64</v>
      </c>
      <c r="B29" s="43" t="s">
        <v>310</v>
      </c>
      <c r="C29" s="43" t="s">
        <v>311</v>
      </c>
      <c r="D29" s="75">
        <v>31</v>
      </c>
      <c r="E29" s="75">
        <v>3100</v>
      </c>
    </row>
    <row r="30" spans="1:12">
      <c r="A30" s="43">
        <v>62</v>
      </c>
      <c r="B30" s="43" t="s">
        <v>306</v>
      </c>
      <c r="C30" s="43" t="s">
        <v>307</v>
      </c>
      <c r="D30" s="75">
        <v>24</v>
      </c>
      <c r="E30" s="75">
        <v>2400</v>
      </c>
    </row>
    <row r="31" spans="1:12">
      <c r="A31" s="43">
        <v>37</v>
      </c>
      <c r="B31" s="43" t="s">
        <v>306</v>
      </c>
      <c r="C31" s="43" t="s">
        <v>315</v>
      </c>
      <c r="D31" s="75">
        <v>24</v>
      </c>
      <c r="E31" s="75">
        <v>2400</v>
      </c>
    </row>
    <row r="32" spans="1:12">
      <c r="A32" s="43">
        <v>81</v>
      </c>
      <c r="B32" s="43" t="s">
        <v>304</v>
      </c>
      <c r="C32" s="43" t="s">
        <v>305</v>
      </c>
      <c r="D32" s="75">
        <v>46</v>
      </c>
      <c r="E32" s="75">
        <v>4600</v>
      </c>
    </row>
    <row r="33" spans="1:5">
      <c r="A33" s="43">
        <v>14</v>
      </c>
      <c r="B33" s="43" t="s">
        <v>310</v>
      </c>
      <c r="C33" s="43" t="s">
        <v>311</v>
      </c>
      <c r="D33" s="75">
        <v>18</v>
      </c>
      <c r="E33" s="75">
        <v>1800</v>
      </c>
    </row>
    <row r="34" spans="1:5">
      <c r="A34" s="43">
        <v>76</v>
      </c>
      <c r="B34" s="43" t="s">
        <v>304</v>
      </c>
      <c r="C34" s="43" t="s">
        <v>314</v>
      </c>
      <c r="D34" s="75">
        <v>53</v>
      </c>
      <c r="E34" s="75">
        <v>5300</v>
      </c>
    </row>
    <row r="35" spans="1:5">
      <c r="A35" s="43">
        <v>55</v>
      </c>
      <c r="B35" s="43" t="s">
        <v>312</v>
      </c>
      <c r="C35" s="43" t="s">
        <v>313</v>
      </c>
      <c r="D35" s="75">
        <v>46</v>
      </c>
      <c r="E35" s="75">
        <v>4600</v>
      </c>
    </row>
    <row r="36" spans="1:5">
      <c r="A36" s="43">
        <v>61</v>
      </c>
      <c r="B36" s="43" t="s">
        <v>304</v>
      </c>
      <c r="C36" s="43" t="s">
        <v>305</v>
      </c>
      <c r="D36" s="75">
        <v>39</v>
      </c>
      <c r="E36" s="75">
        <v>3900</v>
      </c>
    </row>
    <row r="37" spans="1:5">
      <c r="A37" s="43">
        <v>41</v>
      </c>
      <c r="B37" s="43" t="s">
        <v>304</v>
      </c>
      <c r="C37" s="43" t="s">
        <v>305</v>
      </c>
      <c r="D37" s="75">
        <v>32</v>
      </c>
      <c r="E37" s="75">
        <v>3200</v>
      </c>
    </row>
    <row r="38" spans="1:5">
      <c r="A38" s="43">
        <v>21</v>
      </c>
      <c r="B38" s="43" t="s">
        <v>304</v>
      </c>
      <c r="C38" s="43" t="s">
        <v>305</v>
      </c>
      <c r="D38" s="75">
        <v>38</v>
      </c>
      <c r="E38" s="75">
        <v>3800</v>
      </c>
    </row>
    <row r="39" spans="1:5">
      <c r="A39" s="43">
        <v>12</v>
      </c>
      <c r="B39" s="43" t="s">
        <v>306</v>
      </c>
      <c r="C39" s="43" t="s">
        <v>307</v>
      </c>
      <c r="D39" s="75">
        <v>33</v>
      </c>
      <c r="E39" s="75">
        <v>3300</v>
      </c>
    </row>
    <row r="40" spans="1:5">
      <c r="A40" s="43">
        <v>78</v>
      </c>
      <c r="B40" s="43" t="s">
        <v>308</v>
      </c>
      <c r="C40" s="43" t="s">
        <v>316</v>
      </c>
      <c r="D40" s="75">
        <v>22</v>
      </c>
      <c r="E40" s="75">
        <v>2200</v>
      </c>
    </row>
    <row r="41" spans="1:5">
      <c r="A41" s="43">
        <v>66</v>
      </c>
      <c r="B41" s="43" t="s">
        <v>304</v>
      </c>
      <c r="C41" s="43" t="s">
        <v>314</v>
      </c>
      <c r="D41" s="75">
        <v>55</v>
      </c>
      <c r="E41" s="75">
        <v>5500</v>
      </c>
    </row>
    <row r="42" spans="1:5">
      <c r="A42" s="43">
        <v>53</v>
      </c>
      <c r="B42" s="43" t="s">
        <v>308</v>
      </c>
      <c r="C42" s="43" t="s">
        <v>309</v>
      </c>
      <c r="D42" s="75">
        <v>19</v>
      </c>
      <c r="E42" s="75">
        <v>1900</v>
      </c>
    </row>
    <row r="43" spans="1:5">
      <c r="A43" s="43">
        <v>2</v>
      </c>
      <c r="B43" s="43" t="s">
        <v>306</v>
      </c>
      <c r="C43" s="43" t="s">
        <v>307</v>
      </c>
      <c r="D43" s="75">
        <v>30</v>
      </c>
      <c r="E43" s="75">
        <v>3000</v>
      </c>
    </row>
    <row r="44" spans="1:5">
      <c r="A44" s="43">
        <v>7</v>
      </c>
      <c r="B44" s="43" t="s">
        <v>306</v>
      </c>
      <c r="C44" s="43" t="s">
        <v>315</v>
      </c>
      <c r="D44" s="75">
        <v>35</v>
      </c>
      <c r="E44" s="75">
        <v>3500</v>
      </c>
    </row>
    <row r="45" spans="1:5">
      <c r="A45" s="43">
        <v>34</v>
      </c>
      <c r="B45" s="43" t="s">
        <v>310</v>
      </c>
      <c r="C45" s="43" t="s">
        <v>311</v>
      </c>
      <c r="D45" s="75">
        <v>37</v>
      </c>
      <c r="E45" s="75">
        <v>3700</v>
      </c>
    </row>
    <row r="46" spans="1:5">
      <c r="A46" s="43">
        <v>59</v>
      </c>
      <c r="B46" s="43" t="s">
        <v>310</v>
      </c>
      <c r="C46" s="43" t="s">
        <v>317</v>
      </c>
      <c r="D46" s="75">
        <v>45</v>
      </c>
      <c r="E46" s="75">
        <v>4500</v>
      </c>
    </row>
    <row r="47" spans="1:5">
      <c r="A47" s="43">
        <v>15</v>
      </c>
      <c r="B47" s="43" t="s">
        <v>312</v>
      </c>
      <c r="C47" s="43" t="s">
        <v>313</v>
      </c>
      <c r="D47" s="75">
        <v>50</v>
      </c>
      <c r="E47" s="75">
        <v>5000</v>
      </c>
    </row>
    <row r="48" spans="1:5">
      <c r="A48" s="43">
        <v>93</v>
      </c>
      <c r="B48" s="43" t="s">
        <v>308</v>
      </c>
      <c r="C48" s="43" t="s">
        <v>309</v>
      </c>
      <c r="D48" s="75">
        <v>21</v>
      </c>
      <c r="E48" s="75">
        <v>2100</v>
      </c>
    </row>
    <row r="49" spans="1:5">
      <c r="A49" s="43">
        <v>89</v>
      </c>
      <c r="B49" s="43" t="s">
        <v>310</v>
      </c>
      <c r="C49" s="43" t="s">
        <v>317</v>
      </c>
      <c r="D49" s="75">
        <v>26</v>
      </c>
      <c r="E49" s="75">
        <v>2600</v>
      </c>
    </row>
    <row r="50" spans="1:5">
      <c r="A50" s="43">
        <v>70</v>
      </c>
      <c r="B50" s="43" t="s">
        <v>312</v>
      </c>
      <c r="C50" s="43" t="s">
        <v>318</v>
      </c>
      <c r="D50" s="75">
        <v>28</v>
      </c>
      <c r="E50" s="75">
        <v>2800</v>
      </c>
    </row>
    <row r="51" spans="1:5">
      <c r="A51" s="43">
        <v>82</v>
      </c>
      <c r="B51" s="43" t="s">
        <v>306</v>
      </c>
      <c r="C51" s="43" t="s">
        <v>307</v>
      </c>
      <c r="D51" s="75">
        <v>28</v>
      </c>
      <c r="E51" s="75">
        <v>2800</v>
      </c>
    </row>
    <row r="52" spans="1:5">
      <c r="A52" s="43">
        <v>40</v>
      </c>
      <c r="B52" s="43" t="s">
        <v>312</v>
      </c>
      <c r="C52" s="43" t="s">
        <v>318</v>
      </c>
      <c r="D52" s="75">
        <v>47</v>
      </c>
      <c r="E52" s="75">
        <v>4700</v>
      </c>
    </row>
    <row r="53" spans="1:5">
      <c r="A53" s="43">
        <v>13</v>
      </c>
      <c r="B53" s="43" t="s">
        <v>308</v>
      </c>
      <c r="C53" s="43" t="s">
        <v>309</v>
      </c>
      <c r="D53" s="75">
        <v>27</v>
      </c>
      <c r="E53" s="75">
        <v>2700</v>
      </c>
    </row>
    <row r="54" spans="1:5">
      <c r="A54" s="43">
        <v>75</v>
      </c>
      <c r="B54" s="43" t="s">
        <v>312</v>
      </c>
      <c r="C54" s="43" t="s">
        <v>313</v>
      </c>
      <c r="D54" s="75">
        <v>25</v>
      </c>
      <c r="E54" s="75">
        <v>2500</v>
      </c>
    </row>
    <row r="55" spans="1:5">
      <c r="A55" s="43">
        <v>99</v>
      </c>
      <c r="B55" s="43" t="s">
        <v>310</v>
      </c>
      <c r="C55" s="43" t="s">
        <v>317</v>
      </c>
      <c r="D55" s="75">
        <v>39</v>
      </c>
      <c r="E55" s="75">
        <v>3900</v>
      </c>
    </row>
    <row r="56" spans="1:5">
      <c r="A56" s="43">
        <v>38</v>
      </c>
      <c r="B56" s="43" t="s">
        <v>308</v>
      </c>
      <c r="C56" s="43" t="s">
        <v>316</v>
      </c>
      <c r="D56" s="75">
        <v>38</v>
      </c>
      <c r="E56" s="75">
        <v>3800</v>
      </c>
    </row>
    <row r="57" spans="1:5">
      <c r="A57" s="43">
        <v>18</v>
      </c>
      <c r="B57" s="43" t="s">
        <v>308</v>
      </c>
      <c r="C57" s="43" t="s">
        <v>316</v>
      </c>
      <c r="D57" s="75">
        <v>23</v>
      </c>
      <c r="E57" s="75">
        <v>2300</v>
      </c>
    </row>
    <row r="58" spans="1:5">
      <c r="A58" s="43">
        <v>32</v>
      </c>
      <c r="B58" s="43" t="s">
        <v>306</v>
      </c>
      <c r="C58" s="43" t="s">
        <v>307</v>
      </c>
      <c r="D58" s="75">
        <v>29</v>
      </c>
      <c r="E58" s="75">
        <v>2900</v>
      </c>
    </row>
    <row r="59" spans="1:5">
      <c r="A59" s="43">
        <v>1</v>
      </c>
      <c r="B59" s="43" t="s">
        <v>304</v>
      </c>
      <c r="C59" s="43" t="s">
        <v>305</v>
      </c>
      <c r="D59" s="75">
        <v>50</v>
      </c>
      <c r="E59" s="75">
        <v>5000</v>
      </c>
    </row>
    <row r="60" spans="1:5">
      <c r="A60" s="43">
        <v>49</v>
      </c>
      <c r="B60" s="43" t="s">
        <v>310</v>
      </c>
      <c r="C60" s="43" t="s">
        <v>317</v>
      </c>
      <c r="D60" s="75">
        <v>42</v>
      </c>
      <c r="E60" s="75">
        <v>4200</v>
      </c>
    </row>
    <row r="61" spans="1:5">
      <c r="A61" s="43">
        <v>52</v>
      </c>
      <c r="B61" s="43" t="s">
        <v>306</v>
      </c>
      <c r="C61" s="43" t="s">
        <v>307</v>
      </c>
      <c r="D61" s="75">
        <v>41</v>
      </c>
      <c r="E61" s="75">
        <v>4100</v>
      </c>
    </row>
    <row r="62" spans="1:5">
      <c r="A62" s="43">
        <v>97</v>
      </c>
      <c r="B62" s="43" t="s">
        <v>306</v>
      </c>
      <c r="C62" s="43" t="s">
        <v>315</v>
      </c>
      <c r="D62" s="75">
        <v>43</v>
      </c>
      <c r="E62" s="75">
        <v>4300</v>
      </c>
    </row>
    <row r="63" spans="1:5">
      <c r="A63" s="43">
        <v>30</v>
      </c>
      <c r="B63" s="43" t="s">
        <v>312</v>
      </c>
      <c r="C63" s="43" t="s">
        <v>318</v>
      </c>
      <c r="D63" s="75">
        <v>26</v>
      </c>
      <c r="E63" s="75">
        <v>2600</v>
      </c>
    </row>
    <row r="64" spans="1:5">
      <c r="A64" s="43">
        <v>83</v>
      </c>
      <c r="B64" s="43" t="s">
        <v>308</v>
      </c>
      <c r="C64" s="43" t="s">
        <v>309</v>
      </c>
      <c r="D64" s="75">
        <v>33</v>
      </c>
      <c r="E64" s="75">
        <v>3300</v>
      </c>
    </row>
    <row r="65" spans="1:5">
      <c r="A65" s="43">
        <v>88</v>
      </c>
      <c r="B65" s="43" t="s">
        <v>308</v>
      </c>
      <c r="C65" s="43" t="s">
        <v>316</v>
      </c>
      <c r="D65" s="75">
        <v>40</v>
      </c>
      <c r="E65" s="75">
        <v>4000</v>
      </c>
    </row>
    <row r="66" spans="1:5">
      <c r="A66" s="43">
        <v>85</v>
      </c>
      <c r="B66" s="43" t="s">
        <v>312</v>
      </c>
      <c r="C66" s="43" t="s">
        <v>313</v>
      </c>
      <c r="D66" s="75">
        <v>48</v>
      </c>
      <c r="E66" s="75">
        <v>4800</v>
      </c>
    </row>
    <row r="67" spans="1:5">
      <c r="A67" s="43">
        <v>84</v>
      </c>
      <c r="B67" s="43" t="s">
        <v>310</v>
      </c>
      <c r="C67" s="43" t="s">
        <v>311</v>
      </c>
      <c r="D67" s="75">
        <v>29</v>
      </c>
      <c r="E67" s="75">
        <v>2900</v>
      </c>
    </row>
    <row r="68" spans="1:5">
      <c r="A68" s="43">
        <v>4</v>
      </c>
      <c r="B68" s="43" t="s">
        <v>310</v>
      </c>
      <c r="C68" s="43" t="s">
        <v>311</v>
      </c>
      <c r="D68" s="75">
        <v>40</v>
      </c>
      <c r="E68" s="75">
        <v>4000</v>
      </c>
    </row>
    <row r="69" spans="1:5">
      <c r="A69" s="43">
        <v>74</v>
      </c>
      <c r="B69" s="43" t="s">
        <v>310</v>
      </c>
      <c r="C69" s="43" t="s">
        <v>311</v>
      </c>
      <c r="D69" s="75">
        <v>40</v>
      </c>
      <c r="E69" s="75">
        <v>4000</v>
      </c>
    </row>
    <row r="70" spans="1:5">
      <c r="A70" s="43">
        <v>98</v>
      </c>
      <c r="B70" s="43" t="s">
        <v>308</v>
      </c>
      <c r="C70" s="43" t="s">
        <v>316</v>
      </c>
      <c r="D70" s="75">
        <v>26</v>
      </c>
      <c r="E70" s="75">
        <v>2600</v>
      </c>
    </row>
    <row r="71" spans="1:5">
      <c r="A71" s="43">
        <v>20</v>
      </c>
      <c r="B71" s="43" t="s">
        <v>312</v>
      </c>
      <c r="C71" s="43" t="s">
        <v>318</v>
      </c>
      <c r="D71" s="75">
        <v>31</v>
      </c>
      <c r="E71" s="75">
        <v>3100</v>
      </c>
    </row>
    <row r="72" spans="1:5">
      <c r="A72" s="43">
        <v>56</v>
      </c>
      <c r="B72" s="43" t="s">
        <v>304</v>
      </c>
      <c r="C72" s="43" t="s">
        <v>314</v>
      </c>
      <c r="D72" s="75">
        <v>52</v>
      </c>
      <c r="E72" s="75">
        <v>5200</v>
      </c>
    </row>
    <row r="73" spans="1:5">
      <c r="A73" s="43">
        <v>72</v>
      </c>
      <c r="B73" s="43" t="s">
        <v>306</v>
      </c>
      <c r="C73" s="43" t="s">
        <v>307</v>
      </c>
      <c r="D73" s="75">
        <v>27</v>
      </c>
      <c r="E73" s="75">
        <v>2700</v>
      </c>
    </row>
    <row r="74" spans="1:5">
      <c r="A74" s="43">
        <v>31</v>
      </c>
      <c r="B74" s="43" t="s">
        <v>304</v>
      </c>
      <c r="C74" s="43" t="s">
        <v>305</v>
      </c>
      <c r="D74" s="75">
        <v>43</v>
      </c>
      <c r="E74" s="75">
        <v>4300</v>
      </c>
    </row>
    <row r="75" spans="1:5">
      <c r="A75" s="43">
        <v>26</v>
      </c>
      <c r="B75" s="43" t="s">
        <v>304</v>
      </c>
      <c r="C75" s="43" t="s">
        <v>314</v>
      </c>
      <c r="D75" s="75">
        <v>49</v>
      </c>
      <c r="E75" s="75">
        <v>4900</v>
      </c>
    </row>
    <row r="76" spans="1:5">
      <c r="A76" s="43">
        <v>86</v>
      </c>
      <c r="B76" s="43" t="s">
        <v>304</v>
      </c>
      <c r="C76" s="43" t="s">
        <v>314</v>
      </c>
      <c r="D76" s="75">
        <v>50</v>
      </c>
      <c r="E76" s="75">
        <v>5000</v>
      </c>
    </row>
    <row r="77" spans="1:5">
      <c r="A77" s="43">
        <v>100</v>
      </c>
      <c r="B77" s="43" t="s">
        <v>312</v>
      </c>
      <c r="C77" s="43" t="s">
        <v>318</v>
      </c>
      <c r="D77" s="75">
        <v>41</v>
      </c>
      <c r="E77" s="75">
        <v>4100</v>
      </c>
    </row>
    <row r="78" spans="1:5">
      <c r="A78" s="43">
        <v>68</v>
      </c>
      <c r="B78" s="43" t="s">
        <v>308</v>
      </c>
      <c r="C78" s="43" t="s">
        <v>316</v>
      </c>
      <c r="D78" s="75">
        <v>29</v>
      </c>
      <c r="E78" s="75">
        <v>2900</v>
      </c>
    </row>
    <row r="79" spans="1:5">
      <c r="A79" s="43">
        <v>80</v>
      </c>
      <c r="B79" s="43" t="s">
        <v>312</v>
      </c>
      <c r="C79" s="43" t="s">
        <v>318</v>
      </c>
      <c r="D79" s="75">
        <v>37</v>
      </c>
      <c r="E79" s="75">
        <v>3700</v>
      </c>
    </row>
    <row r="80" spans="1:5">
      <c r="A80" s="43">
        <v>16</v>
      </c>
      <c r="B80" s="43" t="s">
        <v>304</v>
      </c>
      <c r="C80" s="43" t="s">
        <v>314</v>
      </c>
      <c r="D80" s="75">
        <v>29</v>
      </c>
      <c r="E80" s="75">
        <v>2900</v>
      </c>
    </row>
    <row r="81" spans="1:5">
      <c r="A81" s="43">
        <v>51</v>
      </c>
      <c r="B81" s="43" t="s">
        <v>304</v>
      </c>
      <c r="C81" s="43" t="s">
        <v>305</v>
      </c>
      <c r="D81" s="75">
        <v>48</v>
      </c>
      <c r="E81" s="75">
        <v>4800</v>
      </c>
    </row>
    <row r="82" spans="1:5">
      <c r="A82" s="43">
        <v>46</v>
      </c>
      <c r="B82" s="43" t="s">
        <v>304</v>
      </c>
      <c r="C82" s="43" t="s">
        <v>314</v>
      </c>
      <c r="D82" s="75">
        <v>40</v>
      </c>
      <c r="E82" s="75">
        <v>4000</v>
      </c>
    </row>
    <row r="83" spans="1:5">
      <c r="A83" s="43">
        <v>91</v>
      </c>
      <c r="B83" s="43" t="s">
        <v>304</v>
      </c>
      <c r="C83" s="43" t="s">
        <v>305</v>
      </c>
      <c r="D83" s="75">
        <v>52</v>
      </c>
      <c r="E83" s="75">
        <v>5200</v>
      </c>
    </row>
    <row r="84" spans="1:5">
      <c r="A84" s="43">
        <v>24</v>
      </c>
      <c r="B84" s="43" t="s">
        <v>310</v>
      </c>
      <c r="C84" s="43" t="s">
        <v>311</v>
      </c>
      <c r="D84" s="75">
        <v>44</v>
      </c>
      <c r="E84" s="75">
        <v>4400</v>
      </c>
    </row>
    <row r="85" spans="1:5">
      <c r="A85" s="43">
        <v>8</v>
      </c>
      <c r="B85" s="43" t="s">
        <v>308</v>
      </c>
      <c r="C85" s="43" t="s">
        <v>316</v>
      </c>
      <c r="D85" s="75">
        <v>45</v>
      </c>
      <c r="E85" s="75">
        <v>4500</v>
      </c>
    </row>
    <row r="86" spans="1:5">
      <c r="A86" s="43">
        <v>23</v>
      </c>
      <c r="B86" s="43" t="s">
        <v>308</v>
      </c>
      <c r="C86" s="43" t="s">
        <v>309</v>
      </c>
      <c r="D86" s="75">
        <v>32</v>
      </c>
      <c r="E86" s="75">
        <v>3200</v>
      </c>
    </row>
    <row r="87" spans="1:5">
      <c r="A87" s="43">
        <v>9</v>
      </c>
      <c r="B87" s="43" t="s">
        <v>310</v>
      </c>
      <c r="C87" s="43" t="s">
        <v>317</v>
      </c>
      <c r="D87" s="75">
        <v>10</v>
      </c>
      <c r="E87" s="75">
        <v>1000</v>
      </c>
    </row>
    <row r="88" spans="1:5">
      <c r="A88" s="43">
        <v>28</v>
      </c>
      <c r="B88" s="43" t="s">
        <v>308</v>
      </c>
      <c r="C88" s="43" t="s">
        <v>316</v>
      </c>
      <c r="D88" s="75">
        <v>20</v>
      </c>
      <c r="E88" s="75">
        <v>2000</v>
      </c>
    </row>
    <row r="89" spans="1:5">
      <c r="A89" s="43">
        <v>77</v>
      </c>
      <c r="B89" s="43" t="s">
        <v>306</v>
      </c>
      <c r="C89" s="43" t="s">
        <v>315</v>
      </c>
      <c r="D89" s="75">
        <v>30</v>
      </c>
      <c r="E89" s="75">
        <v>3000</v>
      </c>
    </row>
    <row r="90" spans="1:5">
      <c r="A90" s="43">
        <v>29</v>
      </c>
      <c r="B90" s="43" t="s">
        <v>310</v>
      </c>
      <c r="C90" s="43" t="s">
        <v>317</v>
      </c>
      <c r="D90" s="75">
        <v>56</v>
      </c>
      <c r="E90" s="75">
        <v>5600</v>
      </c>
    </row>
    <row r="91" spans="1:5">
      <c r="A91" s="43">
        <v>10</v>
      </c>
      <c r="B91" s="43" t="s">
        <v>312</v>
      </c>
      <c r="C91" s="43" t="s">
        <v>318</v>
      </c>
      <c r="D91" s="75">
        <v>55</v>
      </c>
      <c r="E91" s="75">
        <v>5500</v>
      </c>
    </row>
    <row r="92" spans="1:5">
      <c r="A92" s="43">
        <v>17</v>
      </c>
      <c r="B92" s="43" t="s">
        <v>306</v>
      </c>
      <c r="C92" s="43" t="s">
        <v>315</v>
      </c>
      <c r="D92" s="75">
        <v>42</v>
      </c>
      <c r="E92" s="75">
        <v>4200</v>
      </c>
    </row>
    <row r="93" spans="1:5">
      <c r="A93" s="43">
        <v>69</v>
      </c>
      <c r="B93" s="43" t="s">
        <v>310</v>
      </c>
      <c r="C93" s="43" t="s">
        <v>317</v>
      </c>
      <c r="D93" s="75">
        <v>38</v>
      </c>
      <c r="E93" s="75">
        <v>3800</v>
      </c>
    </row>
    <row r="94" spans="1:5">
      <c r="A94" s="43">
        <v>47</v>
      </c>
      <c r="B94" s="43" t="s">
        <v>306</v>
      </c>
      <c r="C94" s="43" t="s">
        <v>315</v>
      </c>
      <c r="D94" s="75">
        <v>22</v>
      </c>
      <c r="E94" s="75">
        <v>2200</v>
      </c>
    </row>
    <row r="95" spans="1:5">
      <c r="A95" s="43">
        <v>71</v>
      </c>
      <c r="B95" s="43" t="s">
        <v>304</v>
      </c>
      <c r="C95" s="43" t="s">
        <v>305</v>
      </c>
      <c r="D95" s="75">
        <v>45</v>
      </c>
      <c r="E95" s="75">
        <v>4500</v>
      </c>
    </row>
    <row r="96" spans="1:5">
      <c r="A96" s="43">
        <v>5</v>
      </c>
      <c r="B96" s="43" t="s">
        <v>312</v>
      </c>
      <c r="C96" s="43" t="s">
        <v>313</v>
      </c>
      <c r="D96" s="75">
        <v>25</v>
      </c>
      <c r="E96" s="75">
        <v>2500</v>
      </c>
    </row>
    <row r="97" spans="1:5">
      <c r="A97" s="43">
        <v>48</v>
      </c>
      <c r="B97" s="43" t="s">
        <v>308</v>
      </c>
      <c r="C97" s="43" t="s">
        <v>316</v>
      </c>
      <c r="D97" s="75">
        <v>30</v>
      </c>
      <c r="E97" s="75">
        <v>3000</v>
      </c>
    </row>
    <row r="98" spans="1:5">
      <c r="A98" s="43">
        <v>22</v>
      </c>
      <c r="B98" s="43" t="s">
        <v>306</v>
      </c>
      <c r="C98" s="43" t="s">
        <v>307</v>
      </c>
      <c r="D98" s="75">
        <v>21</v>
      </c>
      <c r="E98" s="75">
        <v>2100</v>
      </c>
    </row>
    <row r="99" spans="1:5">
      <c r="A99" s="43">
        <v>58</v>
      </c>
      <c r="B99" s="43" t="s">
        <v>308</v>
      </c>
      <c r="C99" s="43" t="s">
        <v>316</v>
      </c>
      <c r="D99" s="75">
        <v>34</v>
      </c>
      <c r="E99" s="75">
        <v>3400</v>
      </c>
    </row>
    <row r="100" spans="1:5">
      <c r="A100" s="43">
        <v>95</v>
      </c>
      <c r="B100" s="43" t="s">
        <v>312</v>
      </c>
      <c r="C100" s="43" t="s">
        <v>313</v>
      </c>
      <c r="D100" s="75">
        <v>49</v>
      </c>
      <c r="E100" s="75">
        <v>4900</v>
      </c>
    </row>
    <row r="101" spans="1:5">
      <c r="A101" s="43">
        <v>67</v>
      </c>
      <c r="B101" s="43" t="s">
        <v>306</v>
      </c>
      <c r="C101" s="43" t="s">
        <v>315</v>
      </c>
      <c r="D101" s="75">
        <v>32</v>
      </c>
      <c r="E101" s="75">
        <v>3200</v>
      </c>
    </row>
  </sheetData>
  <autoFilter ref="A1:E101" xr:uid="{5C064E6A-A0D7-4AB9-BBE2-81D97BDD4EA3}"/>
  <mergeCells count="2">
    <mergeCell ref="G1:K1"/>
    <mergeCell ref="H16:J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CF34D-427A-48AC-916A-42A5E75A92F2}">
  <dimension ref="A1:J31"/>
  <sheetViews>
    <sheetView zoomScaleNormal="100" workbookViewId="0">
      <pane ySplit="1" topLeftCell="A2" activePane="bottomLeft" state="frozen"/>
      <selection pane="bottomLeft" activeCell="I4" sqref="I4"/>
    </sheetView>
  </sheetViews>
  <sheetFormatPr defaultColWidth="9.21875" defaultRowHeight="15.6"/>
  <cols>
    <col min="1" max="1" width="11.44140625" style="35" bestFit="1" customWidth="1"/>
    <col min="2" max="2" width="26.77734375" style="35" bestFit="1" customWidth="1"/>
    <col min="3" max="3" width="16.44140625" style="35" bestFit="1" customWidth="1"/>
    <col min="4" max="4" width="7.77734375" style="35" bestFit="1" customWidth="1"/>
    <col min="5" max="5" width="16.44140625" style="35" bestFit="1" customWidth="1"/>
    <col min="7" max="7" width="9.21875" style="60"/>
    <col min="8" max="8" width="19.77734375" style="40" customWidth="1"/>
    <col min="9" max="9" width="34.5546875" style="40" customWidth="1"/>
    <col min="10" max="10" width="10.21875" style="60" customWidth="1"/>
    <col min="11" max="11" width="9.21875" style="60"/>
    <col min="12" max="12" width="14.77734375" style="60" customWidth="1"/>
    <col min="13" max="13" width="16.21875" style="60" customWidth="1"/>
    <col min="14" max="16384" width="9.21875" style="60"/>
  </cols>
  <sheetData>
    <row r="1" spans="1:10">
      <c r="A1" s="68" t="s">
        <v>262</v>
      </c>
      <c r="B1" s="68" t="s">
        <v>263</v>
      </c>
      <c r="C1" s="68" t="s">
        <v>264</v>
      </c>
      <c r="D1" s="68" t="s">
        <v>265</v>
      </c>
      <c r="E1" s="68" t="s">
        <v>266</v>
      </c>
    </row>
    <row r="2" spans="1:10">
      <c r="A2" s="36">
        <v>30</v>
      </c>
      <c r="B2" s="36" t="s">
        <v>267</v>
      </c>
      <c r="C2" s="36" t="s">
        <v>268</v>
      </c>
      <c r="D2" s="36">
        <v>10200</v>
      </c>
      <c r="E2" s="36">
        <v>1030123456</v>
      </c>
    </row>
    <row r="3" spans="1:10">
      <c r="A3" s="36">
        <v>29</v>
      </c>
      <c r="B3" s="36" t="s">
        <v>269</v>
      </c>
      <c r="C3" s="36" t="s">
        <v>270</v>
      </c>
      <c r="D3" s="36">
        <v>10500</v>
      </c>
      <c r="E3" s="36">
        <v>1029012345</v>
      </c>
      <c r="H3" s="67" t="s">
        <v>264</v>
      </c>
      <c r="I3" s="67" t="s">
        <v>322</v>
      </c>
    </row>
    <row r="4" spans="1:10">
      <c r="A4" s="36">
        <v>28</v>
      </c>
      <c r="B4" s="36" t="s">
        <v>271</v>
      </c>
      <c r="C4" s="36" t="s">
        <v>272</v>
      </c>
      <c r="D4" s="36">
        <v>9800</v>
      </c>
      <c r="E4" s="36">
        <v>1028901234</v>
      </c>
      <c r="H4" s="43" t="s">
        <v>268</v>
      </c>
      <c r="I4" s="43">
        <f>COUNTIF(C:C,H4)</f>
        <v>8</v>
      </c>
    </row>
    <row r="5" spans="1:10">
      <c r="A5" s="36">
        <v>27</v>
      </c>
      <c r="B5" s="36" t="s">
        <v>273</v>
      </c>
      <c r="C5" s="36" t="s">
        <v>274</v>
      </c>
      <c r="D5" s="36">
        <v>9500</v>
      </c>
      <c r="E5" s="36">
        <v>1027890123</v>
      </c>
      <c r="H5" s="43" t="s">
        <v>270</v>
      </c>
      <c r="I5" s="43"/>
    </row>
    <row r="6" spans="1:10">
      <c r="A6" s="36">
        <v>26</v>
      </c>
      <c r="B6" s="36" t="s">
        <v>275</v>
      </c>
      <c r="C6" s="36" t="s">
        <v>268</v>
      </c>
      <c r="D6" s="36">
        <v>9000</v>
      </c>
      <c r="E6" s="36">
        <v>1026789012</v>
      </c>
      <c r="H6" s="43" t="s">
        <v>272</v>
      </c>
      <c r="I6" s="43"/>
    </row>
    <row r="7" spans="1:10">
      <c r="A7" s="36">
        <v>25</v>
      </c>
      <c r="B7" s="36" t="s">
        <v>276</v>
      </c>
      <c r="C7" s="36" t="s">
        <v>274</v>
      </c>
      <c r="D7" s="36">
        <v>10800</v>
      </c>
      <c r="E7" s="36">
        <v>1025678901</v>
      </c>
      <c r="H7" s="43" t="s">
        <v>274</v>
      </c>
      <c r="I7" s="43"/>
    </row>
    <row r="8" spans="1:10">
      <c r="A8" s="36">
        <v>24</v>
      </c>
      <c r="B8" s="36" t="s">
        <v>277</v>
      </c>
      <c r="C8" s="36" t="s">
        <v>272</v>
      </c>
      <c r="D8" s="36">
        <v>7500</v>
      </c>
      <c r="E8" s="36">
        <v>1024567890</v>
      </c>
      <c r="H8"/>
      <c r="I8"/>
      <c r="J8"/>
    </row>
    <row r="9" spans="1:10">
      <c r="A9" s="36">
        <v>23</v>
      </c>
      <c r="B9" s="36" t="s">
        <v>278</v>
      </c>
      <c r="C9" s="36" t="s">
        <v>270</v>
      </c>
      <c r="D9" s="36">
        <v>8500</v>
      </c>
      <c r="E9" s="36">
        <v>1023456789</v>
      </c>
      <c r="H9"/>
      <c r="I9"/>
      <c r="J9"/>
    </row>
    <row r="10" spans="1:10">
      <c r="A10" s="36">
        <v>22</v>
      </c>
      <c r="B10" s="36" t="s">
        <v>279</v>
      </c>
      <c r="C10" s="36" t="s">
        <v>274</v>
      </c>
      <c r="D10" s="36">
        <v>10000</v>
      </c>
      <c r="E10" s="36">
        <v>1022345678</v>
      </c>
      <c r="H10"/>
      <c r="I10"/>
      <c r="J10"/>
    </row>
    <row r="11" spans="1:10">
      <c r="A11" s="36">
        <v>21</v>
      </c>
      <c r="B11" s="36" t="s">
        <v>280</v>
      </c>
      <c r="C11" s="36" t="s">
        <v>268</v>
      </c>
      <c r="D11" s="36">
        <v>14500</v>
      </c>
      <c r="E11" s="36">
        <v>1021234567</v>
      </c>
      <c r="H11"/>
      <c r="I11"/>
      <c r="J11"/>
    </row>
    <row r="12" spans="1:10">
      <c r="A12" s="36">
        <v>20</v>
      </c>
      <c r="B12" s="36" t="s">
        <v>281</v>
      </c>
      <c r="C12" s="36" t="s">
        <v>272</v>
      </c>
      <c r="D12" s="36">
        <v>11500</v>
      </c>
      <c r="E12" s="36">
        <v>1020123456</v>
      </c>
      <c r="H12" s="60"/>
      <c r="I12" s="60"/>
    </row>
    <row r="13" spans="1:10">
      <c r="A13" s="36">
        <v>19</v>
      </c>
      <c r="B13" s="36" t="s">
        <v>282</v>
      </c>
      <c r="C13" s="36" t="s">
        <v>274</v>
      </c>
      <c r="D13" s="36">
        <v>13500</v>
      </c>
      <c r="E13" s="36">
        <v>1019012345</v>
      </c>
    </row>
    <row r="14" spans="1:10">
      <c r="A14" s="36">
        <v>18</v>
      </c>
      <c r="B14" s="36" t="s">
        <v>283</v>
      </c>
      <c r="C14" s="36" t="s">
        <v>268</v>
      </c>
      <c r="D14" s="36">
        <v>14000</v>
      </c>
      <c r="E14" s="36">
        <v>1018901234</v>
      </c>
    </row>
    <row r="15" spans="1:10" ht="21">
      <c r="A15" s="36">
        <v>17</v>
      </c>
      <c r="B15" s="36" t="s">
        <v>284</v>
      </c>
      <c r="C15" s="36" t="s">
        <v>272</v>
      </c>
      <c r="D15" s="36">
        <v>15000</v>
      </c>
      <c r="E15" s="36">
        <v>1017890123</v>
      </c>
      <c r="H15" s="65" t="s">
        <v>98</v>
      </c>
      <c r="I15" s="49"/>
    </row>
    <row r="16" spans="1:10" ht="21">
      <c r="A16" s="36">
        <v>16</v>
      </c>
      <c r="B16" s="36" t="s">
        <v>285</v>
      </c>
      <c r="C16" s="36" t="s">
        <v>270</v>
      </c>
      <c r="D16" s="36">
        <v>12500</v>
      </c>
      <c r="E16" s="36">
        <v>1016789012</v>
      </c>
      <c r="H16" s="49" t="s">
        <v>111</v>
      </c>
      <c r="I16" s="50" t="s">
        <v>112</v>
      </c>
    </row>
    <row r="17" spans="1:9" ht="21">
      <c r="A17" s="36">
        <v>15</v>
      </c>
      <c r="B17" s="36" t="s">
        <v>286</v>
      </c>
      <c r="C17" s="36" t="s">
        <v>268</v>
      </c>
      <c r="D17" s="36">
        <v>7800</v>
      </c>
      <c r="E17" s="36">
        <v>1015678901</v>
      </c>
      <c r="H17" s="49" t="s">
        <v>113</v>
      </c>
      <c r="I17" s="50" t="s">
        <v>114</v>
      </c>
    </row>
    <row r="18" spans="1:9">
      <c r="A18" s="36">
        <v>14</v>
      </c>
      <c r="B18" s="36" t="s">
        <v>287</v>
      </c>
      <c r="C18" s="36" t="s">
        <v>274</v>
      </c>
      <c r="D18" s="36">
        <v>9200</v>
      </c>
      <c r="E18" s="36">
        <v>1014567890</v>
      </c>
    </row>
    <row r="19" spans="1:9">
      <c r="A19" s="36">
        <v>13</v>
      </c>
      <c r="B19" s="36" t="s">
        <v>288</v>
      </c>
      <c r="C19" s="36" t="s">
        <v>272</v>
      </c>
      <c r="D19" s="36">
        <v>10500</v>
      </c>
      <c r="E19" s="36">
        <v>1013456789</v>
      </c>
    </row>
    <row r="20" spans="1:9">
      <c r="A20" s="36">
        <v>12</v>
      </c>
      <c r="B20" s="36" t="s">
        <v>289</v>
      </c>
      <c r="C20" s="36" t="s">
        <v>270</v>
      </c>
      <c r="D20" s="36">
        <v>14500</v>
      </c>
      <c r="E20" s="36">
        <v>1012345678</v>
      </c>
    </row>
    <row r="21" spans="1:9">
      <c r="A21" s="36">
        <v>11</v>
      </c>
      <c r="B21" s="36" t="s">
        <v>290</v>
      </c>
      <c r="C21" s="36" t="s">
        <v>268</v>
      </c>
      <c r="D21" s="36">
        <v>11000</v>
      </c>
      <c r="E21" s="36">
        <v>1011234567</v>
      </c>
    </row>
    <row r="22" spans="1:9">
      <c r="A22" s="36">
        <v>10</v>
      </c>
      <c r="B22" s="36" t="s">
        <v>291</v>
      </c>
      <c r="C22" s="36" t="s">
        <v>274</v>
      </c>
      <c r="D22" s="36">
        <v>10000</v>
      </c>
      <c r="E22" s="36">
        <v>1010123456</v>
      </c>
    </row>
    <row r="23" spans="1:9">
      <c r="A23" s="36">
        <v>9</v>
      </c>
      <c r="B23" s="36" t="s">
        <v>292</v>
      </c>
      <c r="C23" s="36" t="s">
        <v>272</v>
      </c>
      <c r="D23" s="36">
        <v>8500</v>
      </c>
      <c r="E23" s="36">
        <v>1009012345</v>
      </c>
    </row>
    <row r="24" spans="1:9">
      <c r="A24" s="36">
        <v>8</v>
      </c>
      <c r="B24" s="36" t="s">
        <v>293</v>
      </c>
      <c r="C24" s="36" t="s">
        <v>268</v>
      </c>
      <c r="D24" s="36">
        <v>13000</v>
      </c>
      <c r="E24" s="36">
        <v>1008901234</v>
      </c>
    </row>
    <row r="25" spans="1:9">
      <c r="A25" s="36">
        <v>7</v>
      </c>
      <c r="B25" s="36" t="s">
        <v>294</v>
      </c>
      <c r="C25" s="36" t="s">
        <v>270</v>
      </c>
      <c r="D25" s="36">
        <v>9500</v>
      </c>
      <c r="E25" s="36">
        <v>1007890123</v>
      </c>
    </row>
    <row r="26" spans="1:9">
      <c r="A26" s="36">
        <v>6</v>
      </c>
      <c r="B26" s="36" t="s">
        <v>295</v>
      </c>
      <c r="C26" s="36" t="s">
        <v>274</v>
      </c>
      <c r="D26" s="36">
        <v>9000</v>
      </c>
      <c r="E26" s="36">
        <v>1006789012</v>
      </c>
    </row>
    <row r="27" spans="1:9">
      <c r="A27" s="36">
        <v>5</v>
      </c>
      <c r="B27" s="36" t="s">
        <v>296</v>
      </c>
      <c r="C27" s="36" t="s">
        <v>272</v>
      </c>
      <c r="D27" s="36">
        <v>11000</v>
      </c>
      <c r="E27" s="36">
        <v>1005678901</v>
      </c>
    </row>
    <row r="28" spans="1:9">
      <c r="A28" s="36">
        <v>4</v>
      </c>
      <c r="B28" s="36" t="s">
        <v>297</v>
      </c>
      <c r="C28" s="36" t="s">
        <v>270</v>
      </c>
      <c r="D28" s="36">
        <v>14000</v>
      </c>
      <c r="E28" s="36">
        <v>1004567890</v>
      </c>
    </row>
    <row r="29" spans="1:9">
      <c r="A29" s="36">
        <v>3</v>
      </c>
      <c r="B29" s="36" t="s">
        <v>298</v>
      </c>
      <c r="C29" s="36" t="s">
        <v>274</v>
      </c>
      <c r="D29" s="36">
        <v>8000</v>
      </c>
      <c r="E29" s="36">
        <v>1003456789</v>
      </c>
    </row>
    <row r="30" spans="1:9">
      <c r="A30" s="36">
        <v>2</v>
      </c>
      <c r="B30" s="36" t="s">
        <v>299</v>
      </c>
      <c r="C30" s="36" t="s">
        <v>272</v>
      </c>
      <c r="D30" s="36">
        <v>12000</v>
      </c>
      <c r="E30" s="36">
        <v>1002345678</v>
      </c>
    </row>
    <row r="31" spans="1:9">
      <c r="A31" s="36">
        <v>1</v>
      </c>
      <c r="B31" s="36" t="s">
        <v>300</v>
      </c>
      <c r="C31" s="36" t="s">
        <v>268</v>
      </c>
      <c r="D31" s="36">
        <v>15000</v>
      </c>
      <c r="E31" s="36">
        <v>1001234567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AD5B9-36C0-41D4-9399-539B53D0F7F9}">
  <dimension ref="A1:G100"/>
  <sheetViews>
    <sheetView zoomScale="90" zoomScaleNormal="90" workbookViewId="0">
      <pane ySplit="1" topLeftCell="A2" activePane="bottomLeft" state="frozen"/>
      <selection pane="bottomLeft" activeCell="G4" sqref="G4"/>
    </sheetView>
  </sheetViews>
  <sheetFormatPr defaultColWidth="9.21875" defaultRowHeight="16.8"/>
  <cols>
    <col min="1" max="1" width="13.5546875" style="39" bestFit="1" customWidth="1"/>
    <col min="2" max="2" width="9.21875" style="39"/>
    <col min="3" max="3" width="37" style="39" bestFit="1" customWidth="1"/>
    <col min="5" max="5" width="19.21875" style="35" customWidth="1"/>
    <col min="6" max="6" width="17.21875" style="35" customWidth="1"/>
    <col min="7" max="7" width="45.77734375" customWidth="1"/>
  </cols>
  <sheetData>
    <row r="1" spans="1:7" ht="14.4">
      <c r="A1" s="41" t="s">
        <v>132</v>
      </c>
      <c r="B1" s="41" t="s">
        <v>133</v>
      </c>
      <c r="C1" s="41" t="s">
        <v>134</v>
      </c>
    </row>
    <row r="2" spans="1:7" ht="14.4">
      <c r="A2" s="38" t="s">
        <v>135</v>
      </c>
      <c r="B2" s="38" t="s">
        <v>136</v>
      </c>
      <c r="C2" s="38" t="s">
        <v>137</v>
      </c>
    </row>
    <row r="3" spans="1:7" ht="18">
      <c r="A3" s="38" t="s">
        <v>135</v>
      </c>
      <c r="B3" s="38" t="s">
        <v>136</v>
      </c>
      <c r="C3" s="38" t="s">
        <v>138</v>
      </c>
      <c r="E3" s="42" t="s">
        <v>132</v>
      </c>
      <c r="F3" s="42" t="s">
        <v>133</v>
      </c>
      <c r="G3" s="69" t="s">
        <v>173</v>
      </c>
    </row>
    <row r="4" spans="1:7" ht="15.6">
      <c r="A4" s="38" t="s">
        <v>139</v>
      </c>
      <c r="B4" s="38" t="s">
        <v>140</v>
      </c>
      <c r="C4" s="38" t="s">
        <v>141</v>
      </c>
      <c r="E4" s="43" t="s">
        <v>135</v>
      </c>
      <c r="F4" s="43" t="s">
        <v>136</v>
      </c>
      <c r="G4" s="36">
        <f>COUNTIFS(A:A,E4,B:B,F4)</f>
        <v>8</v>
      </c>
    </row>
    <row r="5" spans="1:7" ht="15.6">
      <c r="A5" s="38" t="s">
        <v>142</v>
      </c>
      <c r="B5" s="38" t="s">
        <v>140</v>
      </c>
      <c r="C5" s="38" t="s">
        <v>143</v>
      </c>
      <c r="E5" s="43" t="s">
        <v>135</v>
      </c>
      <c r="F5" s="43" t="s">
        <v>148</v>
      </c>
      <c r="G5" s="36"/>
    </row>
    <row r="6" spans="1:7" ht="15.6">
      <c r="A6" s="38" t="s">
        <v>139</v>
      </c>
      <c r="B6" s="38" t="s">
        <v>136</v>
      </c>
      <c r="C6" s="38" t="s">
        <v>144</v>
      </c>
      <c r="E6" s="43" t="s">
        <v>142</v>
      </c>
      <c r="F6" s="43" t="s">
        <v>140</v>
      </c>
      <c r="G6" s="36"/>
    </row>
    <row r="7" spans="1:7" ht="15.6">
      <c r="A7" s="38" t="s">
        <v>145</v>
      </c>
      <c r="B7" s="38" t="s">
        <v>140</v>
      </c>
      <c r="C7" s="38" t="s">
        <v>146</v>
      </c>
      <c r="E7" s="43" t="s">
        <v>139</v>
      </c>
      <c r="F7" s="43" t="s">
        <v>140</v>
      </c>
      <c r="G7" s="36"/>
    </row>
    <row r="8" spans="1:7" ht="15.6">
      <c r="A8" s="38" t="s">
        <v>142</v>
      </c>
      <c r="B8" s="38" t="s">
        <v>136</v>
      </c>
      <c r="C8" s="38" t="s">
        <v>143</v>
      </c>
      <c r="E8" s="43" t="s">
        <v>139</v>
      </c>
      <c r="F8" s="43" t="s">
        <v>148</v>
      </c>
      <c r="G8" s="36"/>
    </row>
    <row r="9" spans="1:7" ht="15.6">
      <c r="A9" s="38" t="s">
        <v>142</v>
      </c>
      <c r="B9" s="38" t="s">
        <v>140</v>
      </c>
      <c r="C9" s="38" t="s">
        <v>147</v>
      </c>
      <c r="E9" s="40"/>
      <c r="F9" s="40"/>
    </row>
    <row r="10" spans="1:7" ht="15.6">
      <c r="A10" s="38" t="s">
        <v>142</v>
      </c>
      <c r="B10" s="38" t="s">
        <v>136</v>
      </c>
      <c r="C10" s="38" t="s">
        <v>143</v>
      </c>
      <c r="E10" s="40"/>
      <c r="F10" s="40"/>
    </row>
    <row r="11" spans="1:7" ht="15.6">
      <c r="A11" s="38" t="s">
        <v>142</v>
      </c>
      <c r="B11" s="38" t="s">
        <v>136</v>
      </c>
      <c r="C11" s="38" t="s">
        <v>143</v>
      </c>
      <c r="E11" s="40"/>
      <c r="F11" s="40"/>
    </row>
    <row r="12" spans="1:7" ht="15.6">
      <c r="A12" s="38" t="s">
        <v>145</v>
      </c>
      <c r="B12" s="38" t="s">
        <v>148</v>
      </c>
      <c r="C12" s="38" t="s">
        <v>149</v>
      </c>
      <c r="E12" s="40"/>
      <c r="F12" s="40"/>
    </row>
    <row r="13" spans="1:7" ht="15.6">
      <c r="A13" s="38" t="s">
        <v>135</v>
      </c>
      <c r="B13" s="38" t="s">
        <v>148</v>
      </c>
      <c r="C13" s="38" t="s">
        <v>150</v>
      </c>
      <c r="E13" s="40"/>
      <c r="F13" s="40"/>
    </row>
    <row r="14" spans="1:7" ht="14.4">
      <c r="A14" s="38" t="s">
        <v>142</v>
      </c>
      <c r="B14" s="38" t="s">
        <v>148</v>
      </c>
      <c r="C14" s="38" t="s">
        <v>151</v>
      </c>
    </row>
    <row r="15" spans="1:7" ht="14.4">
      <c r="A15" s="38" t="s">
        <v>142</v>
      </c>
      <c r="B15" s="38" t="s">
        <v>148</v>
      </c>
      <c r="C15" s="38" t="s">
        <v>151</v>
      </c>
    </row>
    <row r="16" spans="1:7" ht="14.4">
      <c r="A16" s="38" t="s">
        <v>135</v>
      </c>
      <c r="B16" s="38" t="s">
        <v>148</v>
      </c>
      <c r="C16" s="38" t="s">
        <v>138</v>
      </c>
    </row>
    <row r="17" spans="1:3" ht="14.4">
      <c r="A17" s="38" t="s">
        <v>139</v>
      </c>
      <c r="B17" s="38" t="s">
        <v>148</v>
      </c>
      <c r="C17" s="38" t="s">
        <v>152</v>
      </c>
    </row>
    <row r="18" spans="1:3" ht="14.4">
      <c r="A18" s="38" t="s">
        <v>135</v>
      </c>
      <c r="B18" s="38" t="s">
        <v>140</v>
      </c>
      <c r="C18" s="38" t="s">
        <v>153</v>
      </c>
    </row>
    <row r="19" spans="1:3" ht="14.4">
      <c r="A19" s="38" t="s">
        <v>142</v>
      </c>
      <c r="B19" s="38" t="s">
        <v>140</v>
      </c>
      <c r="C19" s="38" t="s">
        <v>143</v>
      </c>
    </row>
    <row r="20" spans="1:3" ht="14.4">
      <c r="A20" s="38" t="s">
        <v>142</v>
      </c>
      <c r="B20" s="38" t="s">
        <v>148</v>
      </c>
      <c r="C20" s="38" t="s">
        <v>143</v>
      </c>
    </row>
    <row r="21" spans="1:3" ht="14.4">
      <c r="A21" s="38" t="s">
        <v>139</v>
      </c>
      <c r="B21" s="38" t="s">
        <v>148</v>
      </c>
      <c r="C21" s="38" t="s">
        <v>144</v>
      </c>
    </row>
    <row r="22" spans="1:3" ht="14.4">
      <c r="A22" s="38" t="s">
        <v>142</v>
      </c>
      <c r="B22" s="38" t="s">
        <v>140</v>
      </c>
      <c r="C22" s="38" t="s">
        <v>154</v>
      </c>
    </row>
    <row r="23" spans="1:3" ht="14.4">
      <c r="A23" s="38" t="s">
        <v>139</v>
      </c>
      <c r="B23" s="38" t="s">
        <v>140</v>
      </c>
      <c r="C23" s="38" t="s">
        <v>155</v>
      </c>
    </row>
    <row r="24" spans="1:3" ht="14.4">
      <c r="A24" s="38" t="s">
        <v>139</v>
      </c>
      <c r="B24" s="38" t="s">
        <v>148</v>
      </c>
      <c r="C24" s="38" t="s">
        <v>156</v>
      </c>
    </row>
    <row r="25" spans="1:3" ht="14.4">
      <c r="A25" s="38" t="s">
        <v>139</v>
      </c>
      <c r="B25" s="38" t="s">
        <v>140</v>
      </c>
      <c r="C25" s="38" t="s">
        <v>144</v>
      </c>
    </row>
    <row r="26" spans="1:3" ht="14.4">
      <c r="A26" s="38" t="s">
        <v>145</v>
      </c>
      <c r="B26" s="38" t="s">
        <v>140</v>
      </c>
      <c r="C26" s="38" t="s">
        <v>157</v>
      </c>
    </row>
    <row r="27" spans="1:3" ht="14.4">
      <c r="A27" s="38" t="s">
        <v>145</v>
      </c>
      <c r="B27" s="38" t="s">
        <v>140</v>
      </c>
      <c r="C27" s="38" t="s">
        <v>149</v>
      </c>
    </row>
    <row r="28" spans="1:3" ht="14.4">
      <c r="A28" s="38" t="s">
        <v>145</v>
      </c>
      <c r="B28" s="38" t="s">
        <v>140</v>
      </c>
      <c r="C28" s="38" t="s">
        <v>158</v>
      </c>
    </row>
    <row r="29" spans="1:3" ht="14.4">
      <c r="A29" s="38" t="s">
        <v>145</v>
      </c>
      <c r="B29" s="38" t="s">
        <v>136</v>
      </c>
      <c r="C29" s="38" t="s">
        <v>158</v>
      </c>
    </row>
    <row r="30" spans="1:3" ht="14.4">
      <c r="A30" s="38" t="s">
        <v>135</v>
      </c>
      <c r="B30" s="38" t="s">
        <v>140</v>
      </c>
      <c r="C30" s="38" t="s">
        <v>159</v>
      </c>
    </row>
    <row r="31" spans="1:3" ht="14.4">
      <c r="A31" s="38" t="s">
        <v>145</v>
      </c>
      <c r="B31" s="38" t="s">
        <v>140</v>
      </c>
      <c r="C31" s="38" t="s">
        <v>158</v>
      </c>
    </row>
    <row r="32" spans="1:3" ht="14.4">
      <c r="A32" s="38" t="s">
        <v>145</v>
      </c>
      <c r="B32" s="38" t="s">
        <v>148</v>
      </c>
      <c r="C32" s="38" t="s">
        <v>158</v>
      </c>
    </row>
    <row r="33" spans="1:3" ht="14.4">
      <c r="A33" s="38" t="s">
        <v>145</v>
      </c>
      <c r="B33" s="38" t="s">
        <v>140</v>
      </c>
      <c r="C33" s="38" t="s">
        <v>160</v>
      </c>
    </row>
    <row r="34" spans="1:3" ht="14.4">
      <c r="A34" s="38" t="s">
        <v>142</v>
      </c>
      <c r="B34" s="38" t="s">
        <v>136</v>
      </c>
      <c r="C34" s="38" t="s">
        <v>143</v>
      </c>
    </row>
    <row r="35" spans="1:3" ht="14.4">
      <c r="A35" s="38" t="s">
        <v>139</v>
      </c>
      <c r="B35" s="38" t="s">
        <v>140</v>
      </c>
      <c r="C35" s="38" t="s">
        <v>144</v>
      </c>
    </row>
    <row r="36" spans="1:3" ht="14.4">
      <c r="A36" s="38" t="s">
        <v>135</v>
      </c>
      <c r="B36" s="38" t="s">
        <v>148</v>
      </c>
      <c r="C36" s="38" t="s">
        <v>150</v>
      </c>
    </row>
    <row r="37" spans="1:3" ht="14.4">
      <c r="A37" s="38" t="s">
        <v>135</v>
      </c>
      <c r="B37" s="38" t="s">
        <v>148</v>
      </c>
      <c r="C37" s="38" t="s">
        <v>161</v>
      </c>
    </row>
    <row r="38" spans="1:3" ht="14.4">
      <c r="A38" s="38" t="s">
        <v>139</v>
      </c>
      <c r="B38" s="38" t="s">
        <v>140</v>
      </c>
      <c r="C38" s="38" t="s">
        <v>141</v>
      </c>
    </row>
    <row r="39" spans="1:3" ht="14.4">
      <c r="A39" s="38" t="s">
        <v>142</v>
      </c>
      <c r="B39" s="38" t="s">
        <v>140</v>
      </c>
      <c r="C39" s="38" t="s">
        <v>162</v>
      </c>
    </row>
    <row r="40" spans="1:3" ht="14.4">
      <c r="A40" s="38" t="s">
        <v>135</v>
      </c>
      <c r="B40" s="38" t="s">
        <v>148</v>
      </c>
      <c r="C40" s="38" t="s">
        <v>150</v>
      </c>
    </row>
    <row r="41" spans="1:3" ht="14.4">
      <c r="A41" s="38" t="s">
        <v>139</v>
      </c>
      <c r="B41" s="38" t="s">
        <v>140</v>
      </c>
      <c r="C41" s="38" t="s">
        <v>163</v>
      </c>
    </row>
    <row r="42" spans="1:3" ht="14.4">
      <c r="A42" s="38" t="s">
        <v>135</v>
      </c>
      <c r="B42" s="38" t="s">
        <v>148</v>
      </c>
      <c r="C42" s="38" t="s">
        <v>164</v>
      </c>
    </row>
    <row r="43" spans="1:3" ht="14.4">
      <c r="A43" s="38" t="s">
        <v>145</v>
      </c>
      <c r="B43" s="38" t="s">
        <v>140</v>
      </c>
      <c r="C43" s="38" t="s">
        <v>146</v>
      </c>
    </row>
    <row r="44" spans="1:3" ht="14.4">
      <c r="A44" s="38" t="s">
        <v>145</v>
      </c>
      <c r="B44" s="38" t="s">
        <v>140</v>
      </c>
      <c r="C44" s="38" t="s">
        <v>149</v>
      </c>
    </row>
    <row r="45" spans="1:3" ht="14.4">
      <c r="A45" s="38" t="s">
        <v>142</v>
      </c>
      <c r="B45" s="38" t="s">
        <v>136</v>
      </c>
      <c r="C45" s="38" t="s">
        <v>165</v>
      </c>
    </row>
    <row r="46" spans="1:3" ht="14.4">
      <c r="A46" s="38" t="s">
        <v>139</v>
      </c>
      <c r="B46" s="38" t="s">
        <v>140</v>
      </c>
      <c r="C46" s="38" t="s">
        <v>141</v>
      </c>
    </row>
    <row r="47" spans="1:3" ht="14.4">
      <c r="A47" s="38" t="s">
        <v>139</v>
      </c>
      <c r="B47" s="38" t="s">
        <v>136</v>
      </c>
      <c r="C47" s="38" t="s">
        <v>163</v>
      </c>
    </row>
    <row r="48" spans="1:3" ht="14.4">
      <c r="A48" s="38" t="s">
        <v>142</v>
      </c>
      <c r="B48" s="38" t="s">
        <v>136</v>
      </c>
      <c r="C48" s="38" t="s">
        <v>143</v>
      </c>
    </row>
    <row r="49" spans="1:3" ht="14.4">
      <c r="A49" s="38" t="s">
        <v>139</v>
      </c>
      <c r="B49" s="38" t="s">
        <v>148</v>
      </c>
      <c r="C49" s="38" t="s">
        <v>166</v>
      </c>
    </row>
    <row r="50" spans="1:3" ht="14.4">
      <c r="A50" s="38" t="s">
        <v>139</v>
      </c>
      <c r="B50" s="38" t="s">
        <v>136</v>
      </c>
      <c r="C50" s="38" t="s">
        <v>167</v>
      </c>
    </row>
    <row r="51" spans="1:3" ht="14.4">
      <c r="A51" s="38" t="s">
        <v>139</v>
      </c>
      <c r="B51" s="38" t="s">
        <v>140</v>
      </c>
      <c r="C51" s="38" t="s">
        <v>144</v>
      </c>
    </row>
    <row r="52" spans="1:3" ht="14.4">
      <c r="A52" s="38" t="s">
        <v>142</v>
      </c>
      <c r="B52" s="38" t="s">
        <v>148</v>
      </c>
      <c r="C52" s="38" t="s">
        <v>168</v>
      </c>
    </row>
    <row r="53" spans="1:3" ht="14.4">
      <c r="A53" s="38" t="s">
        <v>139</v>
      </c>
      <c r="B53" s="38" t="s">
        <v>140</v>
      </c>
      <c r="C53" s="38" t="s">
        <v>169</v>
      </c>
    </row>
    <row r="54" spans="1:3" ht="14.4">
      <c r="A54" s="38" t="s">
        <v>135</v>
      </c>
      <c r="B54" s="38" t="s">
        <v>140</v>
      </c>
      <c r="C54" s="38" t="s">
        <v>164</v>
      </c>
    </row>
    <row r="55" spans="1:3" ht="14.4">
      <c r="A55" s="38" t="s">
        <v>135</v>
      </c>
      <c r="B55" s="38" t="s">
        <v>140</v>
      </c>
      <c r="C55" s="38" t="s">
        <v>153</v>
      </c>
    </row>
    <row r="56" spans="1:3" ht="14.4">
      <c r="A56" s="38" t="s">
        <v>142</v>
      </c>
      <c r="B56" s="38" t="s">
        <v>140</v>
      </c>
      <c r="C56" s="38" t="s">
        <v>170</v>
      </c>
    </row>
    <row r="57" spans="1:3" ht="14.4">
      <c r="A57" s="38" t="s">
        <v>135</v>
      </c>
      <c r="B57" s="38" t="s">
        <v>148</v>
      </c>
      <c r="C57" s="38" t="s">
        <v>161</v>
      </c>
    </row>
    <row r="58" spans="1:3" ht="14.4">
      <c r="A58" s="38" t="s">
        <v>139</v>
      </c>
      <c r="B58" s="38" t="s">
        <v>140</v>
      </c>
      <c r="C58" s="38" t="s">
        <v>141</v>
      </c>
    </row>
    <row r="59" spans="1:3" ht="14.4">
      <c r="A59" s="38" t="s">
        <v>135</v>
      </c>
      <c r="B59" s="38" t="s">
        <v>140</v>
      </c>
      <c r="C59" s="38" t="s">
        <v>153</v>
      </c>
    </row>
    <row r="60" spans="1:3" ht="14.4">
      <c r="A60" s="38" t="s">
        <v>139</v>
      </c>
      <c r="B60" s="38" t="s">
        <v>140</v>
      </c>
      <c r="C60" s="38" t="s">
        <v>141</v>
      </c>
    </row>
    <row r="61" spans="1:3" ht="14.4">
      <c r="A61" s="38" t="s">
        <v>135</v>
      </c>
      <c r="B61" s="38" t="s">
        <v>136</v>
      </c>
      <c r="C61" s="38" t="s">
        <v>153</v>
      </c>
    </row>
    <row r="62" spans="1:3" ht="14.4">
      <c r="A62" s="38" t="s">
        <v>145</v>
      </c>
      <c r="B62" s="38" t="s">
        <v>140</v>
      </c>
      <c r="C62" s="38" t="s">
        <v>157</v>
      </c>
    </row>
    <row r="63" spans="1:3" ht="14.4">
      <c r="A63" s="38" t="s">
        <v>145</v>
      </c>
      <c r="B63" s="38" t="s">
        <v>148</v>
      </c>
      <c r="C63" s="38" t="s">
        <v>157</v>
      </c>
    </row>
    <row r="64" spans="1:3" ht="14.4">
      <c r="A64" s="38" t="s">
        <v>145</v>
      </c>
      <c r="B64" s="38" t="s">
        <v>136</v>
      </c>
      <c r="C64" s="38" t="s">
        <v>149</v>
      </c>
    </row>
    <row r="65" spans="1:3" ht="14.4">
      <c r="A65" s="38" t="s">
        <v>135</v>
      </c>
      <c r="B65" s="38" t="s">
        <v>136</v>
      </c>
      <c r="C65" s="38" t="s">
        <v>153</v>
      </c>
    </row>
    <row r="66" spans="1:3" ht="14.4">
      <c r="A66" s="38" t="s">
        <v>135</v>
      </c>
      <c r="B66" s="38" t="s">
        <v>136</v>
      </c>
      <c r="C66" s="38" t="s">
        <v>159</v>
      </c>
    </row>
    <row r="67" spans="1:3" ht="14.4">
      <c r="A67" s="38" t="s">
        <v>142</v>
      </c>
      <c r="B67" s="38" t="s">
        <v>148</v>
      </c>
      <c r="C67" s="38" t="s">
        <v>147</v>
      </c>
    </row>
    <row r="68" spans="1:3" ht="14.4">
      <c r="A68" s="38" t="s">
        <v>142</v>
      </c>
      <c r="B68" s="38" t="s">
        <v>136</v>
      </c>
      <c r="C68" s="38" t="s">
        <v>170</v>
      </c>
    </row>
    <row r="69" spans="1:3" ht="14.4">
      <c r="A69" s="38" t="s">
        <v>145</v>
      </c>
      <c r="B69" s="38" t="s">
        <v>140</v>
      </c>
      <c r="C69" s="38" t="s">
        <v>146</v>
      </c>
    </row>
    <row r="70" spans="1:3" ht="14.4">
      <c r="A70" s="38" t="s">
        <v>135</v>
      </c>
      <c r="B70" s="38" t="s">
        <v>148</v>
      </c>
      <c r="C70" s="38" t="s">
        <v>138</v>
      </c>
    </row>
    <row r="71" spans="1:3" ht="14.4">
      <c r="A71" s="38" t="s">
        <v>139</v>
      </c>
      <c r="B71" s="38" t="s">
        <v>140</v>
      </c>
      <c r="C71" s="38" t="s">
        <v>156</v>
      </c>
    </row>
    <row r="72" spans="1:3" ht="14.4">
      <c r="A72" s="38" t="s">
        <v>145</v>
      </c>
      <c r="B72" s="38" t="s">
        <v>140</v>
      </c>
      <c r="C72" s="38" t="s">
        <v>149</v>
      </c>
    </row>
    <row r="73" spans="1:3" ht="14.4">
      <c r="A73" s="38" t="s">
        <v>135</v>
      </c>
      <c r="B73" s="38" t="s">
        <v>136</v>
      </c>
      <c r="C73" s="38" t="s">
        <v>138</v>
      </c>
    </row>
    <row r="74" spans="1:3" ht="14.4">
      <c r="A74" s="38" t="s">
        <v>139</v>
      </c>
      <c r="B74" s="38" t="s">
        <v>140</v>
      </c>
      <c r="C74" s="38" t="s">
        <v>169</v>
      </c>
    </row>
    <row r="75" spans="1:3" ht="14.4">
      <c r="A75" s="38" t="s">
        <v>145</v>
      </c>
      <c r="B75" s="38" t="s">
        <v>148</v>
      </c>
      <c r="C75" s="38" t="s">
        <v>171</v>
      </c>
    </row>
    <row r="76" spans="1:3" ht="14.4">
      <c r="A76" s="38" t="s">
        <v>139</v>
      </c>
      <c r="B76" s="38" t="s">
        <v>148</v>
      </c>
      <c r="C76" s="38" t="s">
        <v>152</v>
      </c>
    </row>
    <row r="77" spans="1:3" ht="14.4">
      <c r="A77" s="38" t="s">
        <v>145</v>
      </c>
      <c r="B77" s="38" t="s">
        <v>140</v>
      </c>
      <c r="C77" s="38" t="s">
        <v>146</v>
      </c>
    </row>
    <row r="78" spans="1:3" ht="14.4">
      <c r="A78" s="38" t="s">
        <v>139</v>
      </c>
      <c r="B78" s="38" t="s">
        <v>136</v>
      </c>
      <c r="C78" s="38" t="s">
        <v>144</v>
      </c>
    </row>
    <row r="79" spans="1:3" ht="14.4">
      <c r="A79" s="38" t="s">
        <v>135</v>
      </c>
      <c r="B79" s="38" t="s">
        <v>148</v>
      </c>
      <c r="C79" s="38" t="s">
        <v>159</v>
      </c>
    </row>
    <row r="80" spans="1:3" ht="14.4">
      <c r="A80" s="38" t="s">
        <v>135</v>
      </c>
      <c r="B80" s="38" t="s">
        <v>148</v>
      </c>
      <c r="C80" s="38" t="s">
        <v>161</v>
      </c>
    </row>
    <row r="81" spans="1:3" ht="14.4">
      <c r="A81" s="38" t="s">
        <v>139</v>
      </c>
      <c r="B81" s="38" t="s">
        <v>140</v>
      </c>
      <c r="C81" s="38" t="s">
        <v>152</v>
      </c>
    </row>
    <row r="82" spans="1:3" ht="14.4">
      <c r="A82" s="38" t="s">
        <v>135</v>
      </c>
      <c r="B82" s="38" t="s">
        <v>140</v>
      </c>
      <c r="C82" s="38" t="s">
        <v>153</v>
      </c>
    </row>
    <row r="83" spans="1:3" ht="14.4">
      <c r="A83" s="38" t="s">
        <v>142</v>
      </c>
      <c r="B83" s="38" t="s">
        <v>136</v>
      </c>
      <c r="C83" s="38" t="s">
        <v>143</v>
      </c>
    </row>
    <row r="84" spans="1:3" ht="14.4">
      <c r="A84" s="38" t="s">
        <v>145</v>
      </c>
      <c r="B84" s="38" t="s">
        <v>140</v>
      </c>
      <c r="C84" s="38" t="s">
        <v>149</v>
      </c>
    </row>
    <row r="85" spans="1:3" ht="14.4">
      <c r="A85" s="38" t="s">
        <v>139</v>
      </c>
      <c r="B85" s="38" t="s">
        <v>148</v>
      </c>
      <c r="C85" s="38" t="s">
        <v>152</v>
      </c>
    </row>
    <row r="86" spans="1:3" ht="14.4">
      <c r="A86" s="38" t="s">
        <v>135</v>
      </c>
      <c r="B86" s="38" t="s">
        <v>148</v>
      </c>
      <c r="C86" s="38" t="s">
        <v>150</v>
      </c>
    </row>
    <row r="87" spans="1:3" ht="14.4">
      <c r="A87" s="38" t="s">
        <v>139</v>
      </c>
      <c r="B87" s="38" t="s">
        <v>136</v>
      </c>
      <c r="C87" s="38" t="s">
        <v>152</v>
      </c>
    </row>
    <row r="88" spans="1:3" ht="14.4">
      <c r="A88" s="38" t="s">
        <v>135</v>
      </c>
      <c r="B88" s="38" t="s">
        <v>140</v>
      </c>
      <c r="C88" s="38" t="s">
        <v>172</v>
      </c>
    </row>
    <row r="89" spans="1:3" ht="14.4">
      <c r="A89" s="38" t="s">
        <v>135</v>
      </c>
      <c r="B89" s="38" t="s">
        <v>136</v>
      </c>
      <c r="C89" s="38" t="s">
        <v>159</v>
      </c>
    </row>
    <row r="90" spans="1:3" ht="14.4">
      <c r="A90" s="38" t="s">
        <v>145</v>
      </c>
      <c r="B90" s="38" t="s">
        <v>140</v>
      </c>
      <c r="C90" s="38" t="s">
        <v>146</v>
      </c>
    </row>
    <row r="91" spans="1:3" ht="14.4">
      <c r="A91" s="38" t="s">
        <v>145</v>
      </c>
      <c r="B91" s="38" t="s">
        <v>136</v>
      </c>
      <c r="C91" s="38" t="s">
        <v>149</v>
      </c>
    </row>
    <row r="92" spans="1:3" ht="14.4">
      <c r="A92" s="38" t="s">
        <v>135</v>
      </c>
      <c r="B92" s="38" t="s">
        <v>136</v>
      </c>
      <c r="C92" s="38" t="s">
        <v>138</v>
      </c>
    </row>
    <row r="93" spans="1:3" ht="14.4">
      <c r="A93" s="38" t="s">
        <v>142</v>
      </c>
      <c r="B93" s="38" t="s">
        <v>140</v>
      </c>
      <c r="C93" s="38" t="s">
        <v>143</v>
      </c>
    </row>
    <row r="94" spans="1:3" ht="14.4">
      <c r="A94" s="38" t="s">
        <v>139</v>
      </c>
      <c r="B94" s="38" t="s">
        <v>140</v>
      </c>
      <c r="C94" s="38" t="s">
        <v>144</v>
      </c>
    </row>
    <row r="95" spans="1:3" ht="14.4">
      <c r="A95" s="38" t="s">
        <v>135</v>
      </c>
      <c r="B95" s="38" t="s">
        <v>148</v>
      </c>
      <c r="C95" s="38" t="s">
        <v>137</v>
      </c>
    </row>
    <row r="96" spans="1:3" ht="14.4">
      <c r="A96" s="38" t="s">
        <v>135</v>
      </c>
      <c r="B96" s="38" t="s">
        <v>140</v>
      </c>
      <c r="C96" s="38" t="s">
        <v>153</v>
      </c>
    </row>
    <row r="97" spans="1:3" ht="14.4">
      <c r="A97" s="38" t="s">
        <v>142</v>
      </c>
      <c r="B97" s="38" t="s">
        <v>140</v>
      </c>
      <c r="C97" s="38" t="s">
        <v>143</v>
      </c>
    </row>
    <row r="98" spans="1:3" ht="14.4">
      <c r="A98" s="38" t="s">
        <v>139</v>
      </c>
      <c r="B98" s="38" t="s">
        <v>140</v>
      </c>
      <c r="C98" s="38" t="s">
        <v>163</v>
      </c>
    </row>
    <row r="99" spans="1:3" ht="14.4">
      <c r="A99" s="38" t="s">
        <v>145</v>
      </c>
      <c r="B99" s="38" t="s">
        <v>148</v>
      </c>
      <c r="C99" s="38" t="s">
        <v>157</v>
      </c>
    </row>
    <row r="100" spans="1:3" ht="14.4">
      <c r="A100" s="38" t="s">
        <v>139</v>
      </c>
      <c r="B100" s="38" t="s">
        <v>136</v>
      </c>
      <c r="C100" s="38" t="s">
        <v>163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40C6-C70A-4194-A535-F04AD1EB9CA3}">
  <dimension ref="A1:O27"/>
  <sheetViews>
    <sheetView workbookViewId="0">
      <selection activeCell="L15" sqref="L15"/>
    </sheetView>
  </sheetViews>
  <sheetFormatPr defaultRowHeight="14.4"/>
  <cols>
    <col min="11" max="11" width="15" customWidth="1"/>
    <col min="12" max="12" width="21.77734375" customWidth="1"/>
    <col min="13" max="13" width="14.21875" customWidth="1"/>
    <col min="14" max="14" width="14.44140625" customWidth="1"/>
    <col min="15" max="15" width="10.44140625" bestFit="1" customWidth="1"/>
  </cols>
  <sheetData>
    <row r="1" spans="1:15" ht="15.6">
      <c r="A1" s="106" t="s">
        <v>178</v>
      </c>
      <c r="B1" s="107"/>
      <c r="C1" s="107"/>
      <c r="D1" s="107"/>
      <c r="E1" s="107"/>
      <c r="F1" s="107"/>
      <c r="G1" s="107"/>
      <c r="H1" s="108"/>
      <c r="K1" s="59" t="s">
        <v>2</v>
      </c>
      <c r="L1" s="59" t="s">
        <v>0</v>
      </c>
      <c r="M1" s="59" t="s">
        <v>11</v>
      </c>
      <c r="N1" s="59" t="s">
        <v>12</v>
      </c>
      <c r="O1" s="59" t="s">
        <v>261</v>
      </c>
    </row>
    <row r="2" spans="1:15">
      <c r="A2" s="109"/>
      <c r="B2" s="110"/>
      <c r="C2" s="110"/>
      <c r="D2" s="110"/>
      <c r="E2" s="110"/>
      <c r="F2" s="110"/>
      <c r="G2" s="110"/>
      <c r="H2" s="111"/>
      <c r="K2" s="36">
        <v>14789</v>
      </c>
      <c r="L2" s="36" t="s">
        <v>13</v>
      </c>
      <c r="M2" s="36" t="s">
        <v>14</v>
      </c>
      <c r="N2" s="36">
        <v>3119</v>
      </c>
      <c r="O2" s="58"/>
    </row>
    <row r="3" spans="1:15" ht="15" customHeight="1">
      <c r="A3" s="109"/>
      <c r="B3" s="110"/>
      <c r="C3" s="110"/>
      <c r="D3" s="110"/>
      <c r="E3" s="110"/>
      <c r="F3" s="110"/>
      <c r="G3" s="110"/>
      <c r="H3" s="111"/>
      <c r="K3" s="36">
        <v>14790</v>
      </c>
      <c r="L3" s="36" t="s">
        <v>15</v>
      </c>
      <c r="M3" s="36" t="s">
        <v>14</v>
      </c>
      <c r="N3" s="36">
        <v>3714</v>
      </c>
      <c r="O3" s="58"/>
    </row>
    <row r="4" spans="1:15" ht="15" customHeight="1">
      <c r="A4" s="109"/>
      <c r="B4" s="110"/>
      <c r="C4" s="110"/>
      <c r="D4" s="110"/>
      <c r="E4" s="110"/>
      <c r="F4" s="110"/>
      <c r="G4" s="110"/>
      <c r="H4" s="111"/>
      <c r="K4" s="36">
        <v>14791</v>
      </c>
      <c r="L4" s="36" t="s">
        <v>1</v>
      </c>
      <c r="M4" s="36" t="s">
        <v>17</v>
      </c>
      <c r="N4" s="36">
        <v>2463</v>
      </c>
      <c r="O4" s="58"/>
    </row>
    <row r="5" spans="1:15" ht="15" customHeight="1">
      <c r="A5" s="109"/>
      <c r="B5" s="110"/>
      <c r="C5" s="110"/>
      <c r="D5" s="110"/>
      <c r="E5" s="110"/>
      <c r="F5" s="110"/>
      <c r="G5" s="110"/>
      <c r="H5" s="111"/>
      <c r="K5" s="36">
        <v>14792</v>
      </c>
      <c r="L5" s="36" t="s">
        <v>18</v>
      </c>
      <c r="M5" s="36" t="s">
        <v>17</v>
      </c>
      <c r="N5" s="36">
        <v>2716</v>
      </c>
      <c r="O5" s="58"/>
    </row>
    <row r="6" spans="1:15" ht="15" customHeight="1">
      <c r="A6" s="109"/>
      <c r="B6" s="110"/>
      <c r="C6" s="110"/>
      <c r="D6" s="110"/>
      <c r="E6" s="110"/>
      <c r="F6" s="110"/>
      <c r="G6" s="110"/>
      <c r="H6" s="111"/>
      <c r="K6" s="36">
        <v>14793</v>
      </c>
      <c r="L6" s="36" t="s">
        <v>4</v>
      </c>
      <c r="M6" s="36" t="s">
        <v>17</v>
      </c>
      <c r="N6" s="36">
        <v>2983</v>
      </c>
      <c r="O6" s="58"/>
    </row>
    <row r="7" spans="1:15" ht="15" customHeight="1">
      <c r="A7" s="109"/>
      <c r="B7" s="110"/>
      <c r="C7" s="110"/>
      <c r="D7" s="110"/>
      <c r="E7" s="110"/>
      <c r="F7" s="110"/>
      <c r="G7" s="110"/>
      <c r="H7" s="111"/>
      <c r="K7" s="36">
        <v>14794</v>
      </c>
      <c r="L7" s="36" t="s">
        <v>5</v>
      </c>
      <c r="M7" s="36" t="s">
        <v>14</v>
      </c>
      <c r="N7" s="36">
        <v>2585</v>
      </c>
      <c r="O7" s="58"/>
    </row>
    <row r="8" spans="1:15" ht="15" customHeight="1">
      <c r="A8" s="109"/>
      <c r="B8" s="110"/>
      <c r="C8" s="110"/>
      <c r="D8" s="110"/>
      <c r="E8" s="110"/>
      <c r="F8" s="110"/>
      <c r="G8" s="110"/>
      <c r="H8" s="111"/>
      <c r="K8" s="36">
        <v>14795</v>
      </c>
      <c r="L8" s="36" t="s">
        <v>21</v>
      </c>
      <c r="M8" s="36" t="s">
        <v>23</v>
      </c>
      <c r="N8" s="36">
        <v>2413</v>
      </c>
      <c r="O8" s="58"/>
    </row>
    <row r="9" spans="1:15" ht="15" customHeight="1">
      <c r="A9" s="112"/>
      <c r="B9" s="113"/>
      <c r="C9" s="113"/>
      <c r="D9" s="113"/>
      <c r="E9" s="113"/>
      <c r="F9" s="113"/>
      <c r="G9" s="113"/>
      <c r="H9" s="114"/>
      <c r="K9" s="36">
        <v>14796</v>
      </c>
      <c r="L9" s="36" t="s">
        <v>22</v>
      </c>
      <c r="M9" s="36" t="s">
        <v>23</v>
      </c>
      <c r="N9" s="36">
        <v>3213</v>
      </c>
      <c r="O9" s="58"/>
    </row>
    <row r="10" spans="1:15">
      <c r="K10" s="36">
        <v>14797</v>
      </c>
      <c r="L10" s="36" t="s">
        <v>24</v>
      </c>
      <c r="M10" s="36" t="s">
        <v>23</v>
      </c>
      <c r="N10" s="36">
        <v>3421</v>
      </c>
      <c r="O10" s="58"/>
    </row>
    <row r="13" spans="1:15" ht="26.25" customHeight="1">
      <c r="A13" s="115" t="s">
        <v>179</v>
      </c>
      <c r="B13" s="115"/>
      <c r="C13" s="115"/>
      <c r="D13" s="115"/>
      <c r="E13" s="115"/>
      <c r="F13" s="115"/>
      <c r="G13" s="115"/>
      <c r="H13" s="115"/>
    </row>
    <row r="14" spans="1:15" ht="15" customHeight="1"/>
    <row r="15" spans="1:15" ht="15" customHeight="1">
      <c r="E15" s="116" t="s">
        <v>180</v>
      </c>
      <c r="F15" s="116"/>
      <c r="G15" s="116"/>
      <c r="H15" s="116"/>
    </row>
    <row r="16" spans="1:15" ht="15" customHeight="1"/>
    <row r="17" spans="3:8" ht="15" customHeight="1">
      <c r="C17" s="117" t="s">
        <v>181</v>
      </c>
      <c r="D17" s="117"/>
      <c r="E17" s="117"/>
      <c r="F17" s="117"/>
      <c r="G17" s="117"/>
      <c r="H17" s="117"/>
    </row>
    <row r="18" spans="3:8" ht="15" customHeight="1">
      <c r="C18" s="117" t="s">
        <v>182</v>
      </c>
      <c r="D18" s="117"/>
      <c r="E18" s="117"/>
      <c r="F18" s="117"/>
      <c r="G18" s="117"/>
      <c r="H18" s="117"/>
    </row>
    <row r="19" spans="3:8" ht="15" customHeight="1">
      <c r="C19" s="117" t="s">
        <v>183</v>
      </c>
      <c r="D19" s="117"/>
      <c r="E19" s="117"/>
      <c r="F19" s="117"/>
      <c r="G19" s="117"/>
      <c r="H19" s="117"/>
    </row>
    <row r="20" spans="3:8" ht="15" customHeight="1"/>
    <row r="21" spans="3:8" ht="15" customHeight="1"/>
    <row r="22" spans="3:8" ht="15" customHeight="1">
      <c r="E22" s="116" t="s">
        <v>184</v>
      </c>
      <c r="F22" s="116"/>
      <c r="G22" s="116"/>
      <c r="H22" s="116"/>
    </row>
    <row r="24" spans="3:8">
      <c r="F24" s="35" t="s">
        <v>186</v>
      </c>
      <c r="G24" s="35" t="s">
        <v>185</v>
      </c>
    </row>
    <row r="25" spans="3:8">
      <c r="F25" s="35" t="s">
        <v>187</v>
      </c>
    </row>
    <row r="26" spans="3:8">
      <c r="F26" s="35" t="s">
        <v>259</v>
      </c>
    </row>
    <row r="27" spans="3:8">
      <c r="F27" s="35" t="s">
        <v>260</v>
      </c>
    </row>
  </sheetData>
  <mergeCells count="7">
    <mergeCell ref="A1:H9"/>
    <mergeCell ref="A13:H13"/>
    <mergeCell ref="E15:H15"/>
    <mergeCell ref="E22:H22"/>
    <mergeCell ref="C17:H17"/>
    <mergeCell ref="C18:H18"/>
    <mergeCell ref="C19:H1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19C45-4B38-4F2C-9D36-3817F352D943}">
  <dimension ref="A1:F23"/>
  <sheetViews>
    <sheetView workbookViewId="0">
      <selection activeCell="E8" sqref="E8"/>
    </sheetView>
  </sheetViews>
  <sheetFormatPr defaultRowHeight="14.4"/>
  <cols>
    <col min="1" max="1" width="75" customWidth="1"/>
    <col min="3" max="3" width="12.44140625" style="35" bestFit="1" customWidth="1"/>
    <col min="4" max="4" width="13.44140625" customWidth="1"/>
  </cols>
  <sheetData>
    <row r="1" spans="1:6" ht="63" customHeight="1">
      <c r="A1" s="44" t="s">
        <v>190</v>
      </c>
    </row>
    <row r="2" spans="1:6" ht="18">
      <c r="A2" s="45" t="s">
        <v>191</v>
      </c>
    </row>
    <row r="3" spans="1:6">
      <c r="C3" s="46" t="s">
        <v>192</v>
      </c>
    </row>
    <row r="4" spans="1:6">
      <c r="A4" s="47" t="s">
        <v>193</v>
      </c>
      <c r="C4" s="46"/>
    </row>
    <row r="5" spans="1:6">
      <c r="A5" t="s">
        <v>194</v>
      </c>
      <c r="C5" s="46"/>
    </row>
    <row r="6" spans="1:6">
      <c r="A6" s="47" t="s">
        <v>195</v>
      </c>
      <c r="C6" s="46" t="s">
        <v>196</v>
      </c>
    </row>
    <row r="7" spans="1:6">
      <c r="A7" t="s">
        <v>197</v>
      </c>
      <c r="C7" s="46"/>
    </row>
    <row r="8" spans="1:6">
      <c r="A8" t="s">
        <v>198</v>
      </c>
      <c r="C8" s="46"/>
    </row>
    <row r="9" spans="1:6">
      <c r="A9" s="47" t="s">
        <v>199</v>
      </c>
      <c r="C9" s="46" t="s">
        <v>200</v>
      </c>
      <c r="F9" t="s">
        <v>424</v>
      </c>
    </row>
    <row r="10" spans="1:6" ht="28.8">
      <c r="A10" s="48" t="s">
        <v>201</v>
      </c>
      <c r="F10" t="s">
        <v>425</v>
      </c>
    </row>
    <row r="11" spans="1:6">
      <c r="A11" t="s">
        <v>202</v>
      </c>
      <c r="F11" t="s">
        <v>426</v>
      </c>
    </row>
    <row r="12" spans="1:6">
      <c r="A12" t="s">
        <v>203</v>
      </c>
      <c r="F12" t="s">
        <v>427</v>
      </c>
    </row>
    <row r="13" spans="1:6">
      <c r="A13" t="s">
        <v>204</v>
      </c>
      <c r="F13" t="s">
        <v>428</v>
      </c>
    </row>
    <row r="14" spans="1:6">
      <c r="A14" t="s">
        <v>205</v>
      </c>
    </row>
    <row r="15" spans="1:6">
      <c r="A15" t="s">
        <v>206</v>
      </c>
    </row>
    <row r="16" spans="1:6">
      <c r="A16" t="s">
        <v>207</v>
      </c>
    </row>
    <row r="17" spans="1:1">
      <c r="A17" t="s">
        <v>208</v>
      </c>
    </row>
    <row r="18" spans="1:1">
      <c r="A18" s="47" t="s">
        <v>209</v>
      </c>
    </row>
    <row r="19" spans="1:1" ht="28.8">
      <c r="A19" s="48" t="s">
        <v>210</v>
      </c>
    </row>
    <row r="20" spans="1:1">
      <c r="A20" s="47" t="s">
        <v>211</v>
      </c>
    </row>
    <row r="21" spans="1:1" ht="28.8">
      <c r="A21" s="48" t="s">
        <v>212</v>
      </c>
    </row>
    <row r="22" spans="1:1">
      <c r="A22" s="47" t="s">
        <v>213</v>
      </c>
    </row>
    <row r="23" spans="1:1">
      <c r="A23" s="48" t="s">
        <v>214</v>
      </c>
    </row>
  </sheetData>
  <dataValidations count="4">
    <dataValidation type="list" allowBlank="1" showInputMessage="1" showErrorMessage="1" sqref="D3" xr:uid="{7B6F635F-66E5-47BA-8CEB-8D7994D5C9D5}">
      <formula1>"نعم,لا"</formula1>
    </dataValidation>
    <dataValidation type="whole" allowBlank="1" showInputMessage="1" showErrorMessage="1" errorTitle="not valid age" error="your age is not in the range_x000a_" promptTitle="age" prompt="enter your age" sqref="D6" xr:uid="{72C4F9A1-32D8-48F9-AC04-B1C28418FB45}">
      <formula1>18</formula1>
      <formula2>27</formula2>
    </dataValidation>
    <dataValidation type="textLength" operator="equal" allowBlank="1" showInputMessage="1" showErrorMessage="1" sqref="D9" xr:uid="{4FD49DA7-7A65-4E2E-AD77-BF4E1A2F248B}">
      <formula1>14</formula1>
    </dataValidation>
    <dataValidation type="list" allowBlank="1" showInputMessage="1" showErrorMessage="1" sqref="D11" xr:uid="{B33EF9AC-65CE-4CA0-87AF-F8A4900D46C2}">
      <formula1>$F$9:$F$13</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50471-864B-4EC4-852E-44CD661F1158}">
  <dimension ref="A2:C22"/>
  <sheetViews>
    <sheetView zoomScale="70" zoomScaleNormal="70" workbookViewId="0">
      <selection activeCell="G17" sqref="G17"/>
    </sheetView>
  </sheetViews>
  <sheetFormatPr defaultColWidth="15.77734375" defaultRowHeight="28.8"/>
  <cols>
    <col min="1" max="1" width="44.21875" style="24" bestFit="1" customWidth="1"/>
    <col min="2" max="2" width="50.21875" style="24" bestFit="1" customWidth="1"/>
    <col min="3" max="16384" width="15.77734375" style="24"/>
  </cols>
  <sheetData>
    <row r="2" spans="1:3" ht="31.2">
      <c r="A2" s="31" t="s">
        <v>124</v>
      </c>
    </row>
    <row r="3" spans="1:3" ht="31.2">
      <c r="A3" s="31" t="s">
        <v>125</v>
      </c>
    </row>
    <row r="5" spans="1:3" ht="33">
      <c r="A5" s="31" t="s">
        <v>34</v>
      </c>
      <c r="B5" s="22" t="s">
        <v>44</v>
      </c>
      <c r="C5" s="24" t="s">
        <v>120</v>
      </c>
    </row>
    <row r="6" spans="1:3" ht="33">
      <c r="A6" s="31" t="s">
        <v>36</v>
      </c>
      <c r="B6" s="22" t="s">
        <v>35</v>
      </c>
      <c r="C6" s="24" t="s">
        <v>121</v>
      </c>
    </row>
    <row r="7" spans="1:3" ht="33">
      <c r="A7" s="31" t="s">
        <v>39</v>
      </c>
      <c r="B7" s="22" t="s">
        <v>45</v>
      </c>
      <c r="C7" s="24" t="s">
        <v>122</v>
      </c>
    </row>
    <row r="8" spans="1:3" ht="33">
      <c r="A8" s="31" t="s">
        <v>42</v>
      </c>
      <c r="B8" s="22" t="s">
        <v>46</v>
      </c>
      <c r="C8" s="24" t="s">
        <v>123</v>
      </c>
    </row>
    <row r="10" spans="1:3" customFormat="1" ht="33">
      <c r="A10" s="31" t="s">
        <v>117</v>
      </c>
      <c r="B10" s="22" t="s">
        <v>119</v>
      </c>
    </row>
    <row r="11" spans="1:3" customFormat="1" ht="33">
      <c r="A11" s="31" t="s">
        <v>99</v>
      </c>
      <c r="B11" s="22" t="s">
        <v>100</v>
      </c>
    </row>
    <row r="12" spans="1:3" customFormat="1" ht="33">
      <c r="A12" s="31" t="s">
        <v>101</v>
      </c>
      <c r="B12" s="22" t="s">
        <v>102</v>
      </c>
    </row>
    <row r="13" spans="1:3" customFormat="1" ht="33">
      <c r="A13" s="31" t="s">
        <v>103</v>
      </c>
      <c r="B13" s="22" t="s">
        <v>104</v>
      </c>
    </row>
    <row r="15" spans="1:3" ht="31.2">
      <c r="A15" s="31" t="s">
        <v>96</v>
      </c>
      <c r="B15" s="25" t="s">
        <v>97</v>
      </c>
    </row>
    <row r="16" spans="1:3" ht="31.2">
      <c r="A16" s="31" t="s">
        <v>174</v>
      </c>
      <c r="B16" s="25" t="s">
        <v>175</v>
      </c>
    </row>
    <row r="17" spans="1:2" ht="86.4">
      <c r="A17" s="31" t="s">
        <v>98</v>
      </c>
      <c r="B17" s="23" t="s">
        <v>118</v>
      </c>
    </row>
    <row r="18" spans="1:2" ht="96" customHeight="1">
      <c r="A18" s="31" t="s">
        <v>176</v>
      </c>
      <c r="B18" s="23" t="s">
        <v>177</v>
      </c>
    </row>
    <row r="20" spans="1:2" ht="108.75" customHeight="1">
      <c r="A20" s="31" t="s">
        <v>189</v>
      </c>
      <c r="B20" s="23" t="s">
        <v>188</v>
      </c>
    </row>
    <row r="22" spans="1:2" ht="123.75" customHeight="1">
      <c r="A22" s="31" t="s">
        <v>215</v>
      </c>
      <c r="B22" s="23" t="s">
        <v>216</v>
      </c>
    </row>
  </sheetData>
  <hyperlinks>
    <hyperlink ref="A3" location="'Conditional Formatting'!A1" display="Conditional Formating" xr:uid="{6975814C-B15F-4BE0-B54B-A88363B831B0}"/>
    <hyperlink ref="A5:A8" location="'Basic Aggregation'!A1" display="Sum" xr:uid="{427B31EB-6A08-4A67-8BED-BF1061676DE6}"/>
    <hyperlink ref="A10:A13" location="'Basic Aggregation'!A1" display="CountA" xr:uid="{F1A4CC02-0C53-489D-9767-8FB001CF5965}"/>
    <hyperlink ref="A15" location="SumIF!A1" display="SumIF" xr:uid="{34066D5A-02E7-488C-83B5-A93C9A201F0A}"/>
    <hyperlink ref="A17" location="Countif!A1" display="CountIF" xr:uid="{8FA5939D-5BB7-4EBF-8940-347FDEC53ADF}"/>
    <hyperlink ref="A2" location="'Intro (Home Tab)'!A1" display="Home Tab" xr:uid="{2183D3F2-C120-4341-8337-C6C8AD24C6CB}"/>
    <hyperlink ref="A16" location="SumIFs!A1" display="SumIFs" xr:uid="{7564DA48-4992-470A-B9E6-D029AAE3127C}"/>
    <hyperlink ref="A18" location="Countifs!A1" display="CountIFs" xr:uid="{F76EE9E1-17A9-475D-81CA-81749D94AC5B}"/>
    <hyperlink ref="A20" location="'dynamic ranges'!A1" display="Dynamic Ranges" xr:uid="{EAE6F38D-C073-485D-87A8-DA15FEFBA918}"/>
    <hyperlink ref="A22" location="'Data Validation'!A1" display="Data Validation" xr:uid="{3F662732-3DF0-4C93-BE37-A793F900213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B9444-FD19-4BF6-82DA-445D6CF32EB0}">
  <dimension ref="A1:T31"/>
  <sheetViews>
    <sheetView tabSelected="1" topLeftCell="M2" zoomScale="111" zoomScaleNormal="57" workbookViewId="0">
      <selection activeCell="Q19" sqref="Q19"/>
    </sheetView>
  </sheetViews>
  <sheetFormatPr defaultRowHeight="14.4"/>
  <cols>
    <col min="1" max="1" width="11" style="35" customWidth="1"/>
    <col min="2" max="2" width="7.44140625" style="35" bestFit="1" customWidth="1"/>
    <col min="3" max="3" width="14.109375" style="35" bestFit="1" customWidth="1"/>
    <col min="4" max="4" width="18" style="35" bestFit="1" customWidth="1"/>
    <col min="5" max="5" width="12" style="35" customWidth="1"/>
    <col min="6" max="6" width="10.44140625" style="35" bestFit="1" customWidth="1"/>
    <col min="7" max="7" width="6.44140625" customWidth="1"/>
    <col min="8" max="8" width="11.77734375" bestFit="1" customWidth="1"/>
    <col min="9" max="9" width="27.77734375" bestFit="1" customWidth="1"/>
    <col min="10" max="11" width="24.44140625" bestFit="1" customWidth="1"/>
    <col min="12" max="12" width="18" customWidth="1"/>
    <col min="13" max="13" width="46.88671875" customWidth="1"/>
    <col min="14" max="14" width="22.77734375" customWidth="1"/>
    <col min="15" max="15" width="23.44140625" style="35" customWidth="1"/>
    <col min="16" max="16" width="31.21875" style="35" customWidth="1"/>
    <col min="17" max="17" width="19.21875" style="35" customWidth="1"/>
    <col min="18" max="18" width="12.21875" style="35" bestFit="1" customWidth="1"/>
    <col min="19" max="19" width="12" style="35" bestFit="1" customWidth="1"/>
    <col min="20" max="20" width="9" style="35"/>
  </cols>
  <sheetData>
    <row r="1" spans="1:20">
      <c r="A1" s="93" t="s">
        <v>321</v>
      </c>
      <c r="B1" s="93"/>
      <c r="C1" s="93"/>
      <c r="D1" s="93"/>
      <c r="E1" s="93"/>
      <c r="F1" s="93"/>
      <c r="H1" s="93" t="s">
        <v>399</v>
      </c>
      <c r="I1" s="93"/>
      <c r="J1" s="93"/>
      <c r="K1" s="93"/>
      <c r="L1" s="93"/>
      <c r="M1" s="93"/>
      <c r="O1" s="93" t="s">
        <v>412</v>
      </c>
      <c r="P1" s="93"/>
      <c r="Q1" s="93"/>
      <c r="R1" s="93"/>
      <c r="S1" s="93"/>
    </row>
    <row r="2" spans="1:20">
      <c r="A2" s="79" t="s">
        <v>349</v>
      </c>
      <c r="B2" s="79" t="s">
        <v>320</v>
      </c>
      <c r="C2" s="79" t="s">
        <v>302</v>
      </c>
      <c r="D2" s="79" t="s">
        <v>350</v>
      </c>
      <c r="E2" s="79" t="s">
        <v>321</v>
      </c>
      <c r="F2" s="79" t="s">
        <v>351</v>
      </c>
      <c r="H2" s="79" t="s">
        <v>262</v>
      </c>
      <c r="I2" s="79" t="s">
        <v>365</v>
      </c>
      <c r="J2" s="79" t="s">
        <v>366</v>
      </c>
      <c r="K2" s="79" t="s">
        <v>367</v>
      </c>
      <c r="L2" s="79" t="s">
        <v>368</v>
      </c>
      <c r="M2" s="79" t="s">
        <v>265</v>
      </c>
      <c r="O2" s="79" t="s">
        <v>320</v>
      </c>
      <c r="P2" s="79" t="s">
        <v>319</v>
      </c>
      <c r="Q2" s="79" t="s">
        <v>400</v>
      </c>
      <c r="R2" s="79" t="s">
        <v>401</v>
      </c>
      <c r="S2" s="79" t="s">
        <v>350</v>
      </c>
      <c r="T2" s="35" t="s">
        <v>321</v>
      </c>
    </row>
    <row r="3" spans="1:20">
      <c r="A3" s="36">
        <v>1001</v>
      </c>
      <c r="B3" s="36" t="s">
        <v>352</v>
      </c>
      <c r="C3" s="36">
        <v>20</v>
      </c>
      <c r="D3" s="36">
        <v>1.5</v>
      </c>
      <c r="E3" s="36">
        <f>D3*C3</f>
        <v>30</v>
      </c>
      <c r="F3" s="80">
        <v>45292</v>
      </c>
      <c r="H3" s="36" t="s">
        <v>369</v>
      </c>
      <c r="I3" s="36" t="s">
        <v>370</v>
      </c>
      <c r="J3" s="36" t="s">
        <v>371</v>
      </c>
      <c r="K3" s="36" t="s">
        <v>321</v>
      </c>
      <c r="L3" s="81">
        <v>160</v>
      </c>
      <c r="M3" s="81">
        <v>3000</v>
      </c>
      <c r="O3" s="36" t="s">
        <v>352</v>
      </c>
      <c r="P3" s="36" t="s">
        <v>402</v>
      </c>
      <c r="Q3" s="36">
        <v>100</v>
      </c>
      <c r="R3" s="36">
        <v>20</v>
      </c>
      <c r="S3" s="36">
        <v>1.5</v>
      </c>
      <c r="T3" s="35">
        <f>R3*Q3</f>
        <v>2000</v>
      </c>
    </row>
    <row r="4" spans="1:20">
      <c r="A4" s="36">
        <v>1002</v>
      </c>
      <c r="B4" s="36" t="s">
        <v>353</v>
      </c>
      <c r="C4" s="36">
        <v>15</v>
      </c>
      <c r="D4" s="36">
        <v>2</v>
      </c>
      <c r="E4" s="36">
        <f t="shared" ref="E4:E22" si="0">D4*C4</f>
        <v>30</v>
      </c>
      <c r="F4" s="80">
        <v>45323</v>
      </c>
      <c r="H4" s="36" t="s">
        <v>372</v>
      </c>
      <c r="I4" s="36" t="s">
        <v>373</v>
      </c>
      <c r="J4" s="36" t="s">
        <v>374</v>
      </c>
      <c r="K4" s="36" t="s">
        <v>375</v>
      </c>
      <c r="L4" s="81">
        <v>140</v>
      </c>
      <c r="M4" s="81">
        <v>2800</v>
      </c>
      <c r="O4" s="36" t="s">
        <v>353</v>
      </c>
      <c r="P4" s="36" t="s">
        <v>403</v>
      </c>
      <c r="Q4" s="36">
        <v>150</v>
      </c>
      <c r="R4" s="36">
        <v>30</v>
      </c>
      <c r="S4" s="36">
        <v>2</v>
      </c>
      <c r="T4" s="35">
        <f t="shared" ref="T4:T12" si="1">R4*Q4</f>
        <v>4500</v>
      </c>
    </row>
    <row r="5" spans="1:20">
      <c r="A5" s="36">
        <v>1003</v>
      </c>
      <c r="B5" s="36" t="s">
        <v>354</v>
      </c>
      <c r="C5" s="36">
        <v>30</v>
      </c>
      <c r="D5" s="36">
        <v>1.2</v>
      </c>
      <c r="E5" s="36">
        <f t="shared" si="0"/>
        <v>36</v>
      </c>
      <c r="F5" s="80">
        <v>45352</v>
      </c>
      <c r="H5" s="36" t="s">
        <v>376</v>
      </c>
      <c r="I5" s="36" t="s">
        <v>377</v>
      </c>
      <c r="J5" s="36" t="s">
        <v>378</v>
      </c>
      <c r="K5" s="36" t="s">
        <v>379</v>
      </c>
      <c r="L5" s="81">
        <v>170</v>
      </c>
      <c r="M5" s="81">
        <v>3200</v>
      </c>
      <c r="O5" s="36" t="s">
        <v>354</v>
      </c>
      <c r="P5" s="36" t="s">
        <v>404</v>
      </c>
      <c r="Q5" s="36">
        <v>200</v>
      </c>
      <c r="R5" s="36">
        <v>50</v>
      </c>
      <c r="S5" s="36">
        <v>1.2</v>
      </c>
      <c r="T5" s="35">
        <f t="shared" si="1"/>
        <v>10000</v>
      </c>
    </row>
    <row r="6" spans="1:20">
      <c r="A6" s="36">
        <v>1004</v>
      </c>
      <c r="B6" s="36" t="s">
        <v>355</v>
      </c>
      <c r="C6" s="36">
        <v>10</v>
      </c>
      <c r="D6" s="36">
        <v>3</v>
      </c>
      <c r="E6" s="36">
        <f t="shared" si="0"/>
        <v>30</v>
      </c>
      <c r="F6" s="80">
        <v>45383</v>
      </c>
      <c r="H6" s="36" t="s">
        <v>380</v>
      </c>
      <c r="I6" s="36" t="s">
        <v>381</v>
      </c>
      <c r="J6" s="36" t="s">
        <v>382</v>
      </c>
      <c r="K6" s="36" t="s">
        <v>321</v>
      </c>
      <c r="L6" s="81">
        <v>150</v>
      </c>
      <c r="M6" s="81">
        <v>2900</v>
      </c>
      <c r="O6" s="36" t="s">
        <v>355</v>
      </c>
      <c r="P6" s="36" t="s">
        <v>405</v>
      </c>
      <c r="Q6" s="36">
        <v>80</v>
      </c>
      <c r="R6" s="36">
        <v>10</v>
      </c>
      <c r="S6" s="36">
        <v>3</v>
      </c>
      <c r="T6" s="35">
        <f t="shared" si="1"/>
        <v>800</v>
      </c>
    </row>
    <row r="7" spans="1:20">
      <c r="A7" s="36">
        <v>1005</v>
      </c>
      <c r="B7" s="36" t="s">
        <v>356</v>
      </c>
      <c r="C7" s="36">
        <v>25</v>
      </c>
      <c r="D7" s="36">
        <v>2.5</v>
      </c>
      <c r="E7" s="36">
        <f t="shared" si="0"/>
        <v>62.5</v>
      </c>
      <c r="F7" s="80">
        <v>45413</v>
      </c>
      <c r="H7" s="36" t="s">
        <v>383</v>
      </c>
      <c r="I7" s="36" t="s">
        <v>384</v>
      </c>
      <c r="J7" s="36" t="s">
        <v>385</v>
      </c>
      <c r="K7" s="36" t="s">
        <v>375</v>
      </c>
      <c r="L7" s="81">
        <v>120</v>
      </c>
      <c r="M7" s="81">
        <v>2600</v>
      </c>
      <c r="O7" s="36" t="s">
        <v>356</v>
      </c>
      <c r="P7" s="36" t="s">
        <v>406</v>
      </c>
      <c r="Q7" s="36">
        <v>120</v>
      </c>
      <c r="R7" s="36">
        <v>25</v>
      </c>
      <c r="S7" s="36">
        <v>2.5</v>
      </c>
      <c r="T7" s="35">
        <f t="shared" si="1"/>
        <v>3000</v>
      </c>
    </row>
    <row r="8" spans="1:20">
      <c r="A8" s="36">
        <v>1006</v>
      </c>
      <c r="B8" s="36" t="s">
        <v>352</v>
      </c>
      <c r="C8" s="36">
        <v>10</v>
      </c>
      <c r="D8" s="36">
        <v>1.5</v>
      </c>
      <c r="E8" s="36">
        <f t="shared" si="0"/>
        <v>15</v>
      </c>
      <c r="F8" s="80">
        <v>45444</v>
      </c>
      <c r="H8" s="36" t="s">
        <v>386</v>
      </c>
      <c r="I8" s="36" t="s">
        <v>387</v>
      </c>
      <c r="J8" s="36" t="s">
        <v>388</v>
      </c>
      <c r="K8" s="36" t="s">
        <v>379</v>
      </c>
      <c r="L8" s="81">
        <v>180</v>
      </c>
      <c r="M8" s="81">
        <v>3300</v>
      </c>
      <c r="O8" s="36" t="s">
        <v>352</v>
      </c>
      <c r="P8" s="36" t="s">
        <v>407</v>
      </c>
      <c r="Q8" s="36">
        <v>50</v>
      </c>
      <c r="R8" s="36">
        <v>15</v>
      </c>
      <c r="S8" s="36">
        <v>1.5</v>
      </c>
      <c r="T8" s="35">
        <f t="shared" si="1"/>
        <v>750</v>
      </c>
    </row>
    <row r="9" spans="1:20">
      <c r="A9" s="36">
        <v>1007</v>
      </c>
      <c r="B9" s="36" t="s">
        <v>353</v>
      </c>
      <c r="C9" s="36">
        <v>5</v>
      </c>
      <c r="D9" s="36">
        <v>2</v>
      </c>
      <c r="E9" s="36">
        <f t="shared" si="0"/>
        <v>10</v>
      </c>
      <c r="F9" s="80">
        <v>45474</v>
      </c>
      <c r="H9" s="36" t="s">
        <v>389</v>
      </c>
      <c r="I9" s="36" t="s">
        <v>378</v>
      </c>
      <c r="J9" s="36" t="s">
        <v>390</v>
      </c>
      <c r="K9" s="36" t="s">
        <v>321</v>
      </c>
      <c r="L9" s="81">
        <v>165</v>
      </c>
      <c r="M9" s="81">
        <v>3100</v>
      </c>
      <c r="O9" s="36" t="s">
        <v>353</v>
      </c>
      <c r="P9" s="36" t="s">
        <v>408</v>
      </c>
      <c r="Q9" s="36">
        <v>70</v>
      </c>
      <c r="R9" s="36">
        <v>20</v>
      </c>
      <c r="S9" s="36">
        <v>2</v>
      </c>
      <c r="T9" s="35">
        <f t="shared" si="1"/>
        <v>1400</v>
      </c>
    </row>
    <row r="10" spans="1:20">
      <c r="A10" s="36">
        <v>1008</v>
      </c>
      <c r="B10" s="36" t="s">
        <v>354</v>
      </c>
      <c r="C10" s="36">
        <v>20</v>
      </c>
      <c r="D10" s="36">
        <v>1.2</v>
      </c>
      <c r="E10" s="36">
        <f t="shared" si="0"/>
        <v>24</v>
      </c>
      <c r="F10" s="80">
        <v>45505</v>
      </c>
      <c r="H10" s="36" t="s">
        <v>391</v>
      </c>
      <c r="I10" s="36" t="s">
        <v>392</v>
      </c>
      <c r="J10" s="36" t="s">
        <v>393</v>
      </c>
      <c r="K10" s="36" t="s">
        <v>375</v>
      </c>
      <c r="L10" s="81">
        <v>155</v>
      </c>
      <c r="M10" s="81">
        <v>2700</v>
      </c>
      <c r="O10" s="36" t="s">
        <v>354</v>
      </c>
      <c r="P10" s="36" t="s">
        <v>409</v>
      </c>
      <c r="Q10" s="36">
        <v>90</v>
      </c>
      <c r="R10" s="36">
        <v>30</v>
      </c>
      <c r="S10" s="36">
        <v>1.2</v>
      </c>
      <c r="T10" s="35">
        <f t="shared" si="1"/>
        <v>2700</v>
      </c>
    </row>
    <row r="11" spans="1:20">
      <c r="A11" s="36">
        <v>1009</v>
      </c>
      <c r="B11" s="36" t="s">
        <v>355</v>
      </c>
      <c r="C11" s="36">
        <v>15</v>
      </c>
      <c r="D11" s="36">
        <v>3</v>
      </c>
      <c r="E11" s="36">
        <f t="shared" si="0"/>
        <v>45</v>
      </c>
      <c r="F11" s="80">
        <v>45536</v>
      </c>
      <c r="H11" s="36" t="s">
        <v>394</v>
      </c>
      <c r="I11" s="36" t="s">
        <v>390</v>
      </c>
      <c r="J11" s="36" t="s">
        <v>395</v>
      </c>
      <c r="K11" s="36" t="s">
        <v>379</v>
      </c>
      <c r="L11" s="81">
        <v>145</v>
      </c>
      <c r="M11" s="81">
        <v>3000</v>
      </c>
      <c r="O11" s="36" t="s">
        <v>355</v>
      </c>
      <c r="P11" s="36" t="s">
        <v>410</v>
      </c>
      <c r="Q11" s="36">
        <v>40</v>
      </c>
      <c r="R11" s="36">
        <v>10</v>
      </c>
      <c r="S11" s="36">
        <v>3</v>
      </c>
      <c r="T11" s="35">
        <f t="shared" si="1"/>
        <v>400</v>
      </c>
    </row>
    <row r="12" spans="1:20">
      <c r="A12" s="36">
        <v>1010</v>
      </c>
      <c r="B12" s="36" t="s">
        <v>356</v>
      </c>
      <c r="C12" s="36">
        <v>30</v>
      </c>
      <c r="D12" s="36">
        <v>2.5</v>
      </c>
      <c r="E12" s="36">
        <f t="shared" si="0"/>
        <v>75</v>
      </c>
      <c r="F12" s="80">
        <v>45566</v>
      </c>
      <c r="H12" s="36" t="s">
        <v>396</v>
      </c>
      <c r="I12" s="36" t="s">
        <v>397</v>
      </c>
      <c r="J12" s="36" t="s">
        <v>398</v>
      </c>
      <c r="K12" s="36" t="s">
        <v>321</v>
      </c>
      <c r="L12" s="81">
        <v>160</v>
      </c>
      <c r="M12" s="81">
        <v>3200</v>
      </c>
      <c r="O12" s="36" t="s">
        <v>356</v>
      </c>
      <c r="P12" s="36" t="s">
        <v>411</v>
      </c>
      <c r="Q12" s="36">
        <v>60</v>
      </c>
      <c r="R12" s="36">
        <v>20</v>
      </c>
      <c r="S12" s="36">
        <v>2.5</v>
      </c>
      <c r="T12" s="35">
        <f t="shared" si="1"/>
        <v>1200</v>
      </c>
    </row>
    <row r="13" spans="1:20">
      <c r="A13" s="36">
        <v>1011</v>
      </c>
      <c r="B13" s="36" t="s">
        <v>352</v>
      </c>
      <c r="C13" s="36">
        <v>25</v>
      </c>
      <c r="D13" s="36">
        <v>1.5</v>
      </c>
      <c r="E13" s="36">
        <f t="shared" si="0"/>
        <v>37.5</v>
      </c>
      <c r="F13" s="80">
        <v>45597</v>
      </c>
    </row>
    <row r="14" spans="1:20">
      <c r="A14" s="36">
        <v>1012</v>
      </c>
      <c r="B14" s="36" t="s">
        <v>353</v>
      </c>
      <c r="C14" s="36">
        <v>20</v>
      </c>
      <c r="D14" s="36">
        <v>2</v>
      </c>
      <c r="E14" s="36">
        <f t="shared" si="0"/>
        <v>40</v>
      </c>
      <c r="F14" s="80">
        <v>45627</v>
      </c>
    </row>
    <row r="15" spans="1:20">
      <c r="A15" s="38">
        <v>1013</v>
      </c>
      <c r="B15" s="38" t="s">
        <v>354</v>
      </c>
      <c r="C15" s="38">
        <v>15</v>
      </c>
      <c r="D15" s="38">
        <v>1.2</v>
      </c>
      <c r="E15" s="36">
        <f t="shared" si="0"/>
        <v>18</v>
      </c>
      <c r="F15" s="38" t="s">
        <v>357</v>
      </c>
    </row>
    <row r="16" spans="1:20">
      <c r="A16" s="38">
        <v>1014</v>
      </c>
      <c r="B16" s="38" t="s">
        <v>355</v>
      </c>
      <c r="C16" s="38">
        <v>12</v>
      </c>
      <c r="D16" s="38">
        <v>3</v>
      </c>
      <c r="E16" s="36">
        <f t="shared" si="0"/>
        <v>36</v>
      </c>
      <c r="F16" s="38" t="s">
        <v>358</v>
      </c>
      <c r="I16" s="94"/>
      <c r="J16" s="94"/>
      <c r="K16" s="94"/>
      <c r="L16" s="94"/>
      <c r="M16" s="94"/>
      <c r="N16" s="94"/>
      <c r="O16" s="94"/>
    </row>
    <row r="17" spans="1:20">
      <c r="A17" s="38">
        <v>1015</v>
      </c>
      <c r="B17" s="38" t="s">
        <v>356</v>
      </c>
      <c r="C17" s="38">
        <v>8</v>
      </c>
      <c r="D17" s="38">
        <v>2.5</v>
      </c>
      <c r="E17" s="36">
        <f t="shared" si="0"/>
        <v>20</v>
      </c>
      <c r="F17" s="38" t="s">
        <v>359</v>
      </c>
    </row>
    <row r="18" spans="1:20" s="85" customFormat="1" ht="43.2">
      <c r="A18" s="38">
        <v>1016</v>
      </c>
      <c r="B18" s="38" t="s">
        <v>352</v>
      </c>
      <c r="C18" s="38">
        <v>30</v>
      </c>
      <c r="D18" s="38">
        <v>1.5</v>
      </c>
      <c r="E18" s="36">
        <f t="shared" si="0"/>
        <v>45</v>
      </c>
      <c r="F18" s="38" t="s">
        <v>360</v>
      </c>
      <c r="I18" s="84" t="s">
        <v>413</v>
      </c>
      <c r="J18" s="90">
        <f>MAX(C3:C22)-MIN(C3:C22)</f>
        <v>25</v>
      </c>
      <c r="L18" s="87" t="s">
        <v>420</v>
      </c>
      <c r="M18" s="12">
        <f>SUMIF(C3:C22,"&gt;15",E3:E22)</f>
        <v>430</v>
      </c>
      <c r="O18" s="88" t="s">
        <v>422</v>
      </c>
      <c r="P18" s="89" cm="1">
        <f t="array" ref="P18">COUNTA(_xlfn.UNIQUE(_xlfn._xlws.FILTER(O3:O12,T3:T12&gt;1500)))</f>
        <v>4</v>
      </c>
      <c r="R18" s="82"/>
      <c r="S18" s="82"/>
      <c r="T18" s="82"/>
    </row>
    <row r="19" spans="1:20" s="85" customFormat="1" ht="57.6">
      <c r="A19" s="38">
        <v>1017</v>
      </c>
      <c r="B19" s="38" t="s">
        <v>353</v>
      </c>
      <c r="C19" s="38">
        <v>12</v>
      </c>
      <c r="D19" s="38">
        <v>2</v>
      </c>
      <c r="E19" s="36">
        <f t="shared" si="0"/>
        <v>24</v>
      </c>
      <c r="F19" s="38" t="s">
        <v>361</v>
      </c>
      <c r="I19" s="83" t="s">
        <v>414</v>
      </c>
      <c r="J19" s="89">
        <f>AVERAGE(D3:D22)</f>
        <v>2.04</v>
      </c>
      <c r="L19" s="87" t="s">
        <v>421</v>
      </c>
      <c r="M19" s="12">
        <f>SUMIFS(E3:E22,C3:C22,"&gt;10",D3:D22,"&lt;2")</f>
        <v>220.5</v>
      </c>
      <c r="O19" s="88" t="s">
        <v>423</v>
      </c>
      <c r="P19" s="89" cm="1">
        <f t="array" ref="P19">COUNTA(_xlfn._xlws.FILTER(A3:A22,(C3:C22&gt;10)*(E3:E22&lt;20)))</f>
        <v>1</v>
      </c>
      <c r="R19" s="82"/>
      <c r="S19" s="82"/>
      <c r="T19" s="82"/>
    </row>
    <row r="20" spans="1:20" s="85" customFormat="1" ht="21">
      <c r="A20" s="38">
        <v>1018</v>
      </c>
      <c r="B20" s="38" t="s">
        <v>354</v>
      </c>
      <c r="C20" s="38">
        <v>25</v>
      </c>
      <c r="D20" s="38">
        <v>1.2</v>
      </c>
      <c r="E20" s="36">
        <f t="shared" si="0"/>
        <v>30</v>
      </c>
      <c r="F20" s="38" t="s">
        <v>362</v>
      </c>
      <c r="I20" s="83" t="s">
        <v>415</v>
      </c>
      <c r="J20" s="89">
        <f>SUM(E3:E22)</f>
        <v>682</v>
      </c>
      <c r="O20" s="82"/>
      <c r="P20" s="82"/>
      <c r="Q20" s="82"/>
      <c r="R20" s="82"/>
      <c r="S20" s="82"/>
      <c r="T20" s="82"/>
    </row>
    <row r="21" spans="1:20" s="85" customFormat="1" ht="21">
      <c r="A21" s="38">
        <v>1019</v>
      </c>
      <c r="B21" s="38" t="s">
        <v>355</v>
      </c>
      <c r="C21" s="38">
        <v>8</v>
      </c>
      <c r="D21" s="38">
        <v>3</v>
      </c>
      <c r="E21" s="36">
        <f t="shared" si="0"/>
        <v>24</v>
      </c>
      <c r="F21" s="38" t="s">
        <v>363</v>
      </c>
      <c r="I21" s="83" t="s">
        <v>416</v>
      </c>
      <c r="J21" s="89">
        <f>COUNTA(_xlfn.ANCHORARRAY(I27))</f>
        <v>5</v>
      </c>
      <c r="K21" s="91"/>
      <c r="O21" s="82"/>
      <c r="P21" s="82"/>
      <c r="Q21" s="82"/>
      <c r="R21" s="82"/>
      <c r="S21" s="82"/>
      <c r="T21" s="82"/>
    </row>
    <row r="22" spans="1:20" s="85" customFormat="1" ht="21">
      <c r="A22" s="38">
        <v>1020</v>
      </c>
      <c r="B22" s="38" t="s">
        <v>356</v>
      </c>
      <c r="C22" s="38">
        <v>20</v>
      </c>
      <c r="D22" s="38">
        <v>2.5</v>
      </c>
      <c r="E22" s="36">
        <f t="shared" si="0"/>
        <v>50</v>
      </c>
      <c r="F22" s="38" t="s">
        <v>364</v>
      </c>
      <c r="I22" s="83" t="s">
        <v>417</v>
      </c>
      <c r="J22" s="90">
        <f>AVERAGE(M3:M12)</f>
        <v>2980</v>
      </c>
      <c r="O22" s="82"/>
      <c r="P22" s="82"/>
      <c r="Q22" s="35"/>
      <c r="R22" s="82"/>
      <c r="S22" s="82"/>
      <c r="T22" s="82"/>
    </row>
    <row r="23" spans="1:20" s="85" customFormat="1" ht="21">
      <c r="A23" s="82"/>
      <c r="B23" s="82"/>
      <c r="C23" s="82"/>
      <c r="D23" s="82"/>
      <c r="E23" s="82"/>
      <c r="F23" s="82"/>
      <c r="I23" s="83" t="s">
        <v>418</v>
      </c>
      <c r="J23" s="89">
        <f>MAX(Q3:Q12)</f>
        <v>200</v>
      </c>
      <c r="O23" s="82"/>
      <c r="P23" s="82"/>
      <c r="Q23" s="82"/>
      <c r="R23" s="82"/>
      <c r="S23" s="82"/>
      <c r="T23" s="82"/>
    </row>
    <row r="24" spans="1:20" s="85" customFormat="1" ht="21">
      <c r="A24" s="82"/>
      <c r="B24" s="82"/>
      <c r="C24" s="82"/>
      <c r="D24" s="82"/>
      <c r="E24" s="82"/>
      <c r="F24" s="82"/>
      <c r="I24" s="83" t="s">
        <v>419</v>
      </c>
      <c r="J24" s="89">
        <f>MIN(Q3:Q12)</f>
        <v>40</v>
      </c>
      <c r="O24" s="82"/>
      <c r="P24" s="82"/>
      <c r="Q24" s="82"/>
      <c r="R24" s="82"/>
      <c r="S24" s="82"/>
      <c r="T24" s="82"/>
    </row>
    <row r="25" spans="1:20" s="85" customFormat="1">
      <c r="A25" s="82"/>
      <c r="B25" s="82"/>
      <c r="C25" s="82"/>
      <c r="D25" s="86"/>
      <c r="E25" s="86"/>
      <c r="F25" s="82"/>
      <c r="O25" s="82"/>
      <c r="P25" s="82"/>
      <c r="Q25" s="82"/>
      <c r="R25" s="82"/>
      <c r="S25" s="82"/>
      <c r="T25" s="82"/>
    </row>
    <row r="26" spans="1:20" s="85" customFormat="1">
      <c r="A26" s="82"/>
      <c r="B26" s="82"/>
      <c r="C26" s="82"/>
      <c r="D26" s="82"/>
      <c r="E26" s="82"/>
      <c r="F26" s="82"/>
      <c r="O26" s="82"/>
      <c r="P26" s="82"/>
      <c r="Q26" s="82"/>
      <c r="R26" s="82"/>
      <c r="S26" s="82"/>
      <c r="T26" s="82"/>
    </row>
    <row r="27" spans="1:20" s="85" customFormat="1" ht="39" customHeight="1">
      <c r="A27" s="82"/>
      <c r="B27" s="82"/>
      <c r="C27" s="82"/>
      <c r="D27" s="82"/>
      <c r="E27" s="82"/>
      <c r="F27" s="82"/>
      <c r="I27" s="85" t="str" cm="1">
        <f t="array" ref="I27:I31">_xlfn.UNIQUE(B3:B22)</f>
        <v>Apple</v>
      </c>
      <c r="O27" s="82"/>
      <c r="P27" s="82"/>
      <c r="Q27" s="82"/>
      <c r="R27" s="82"/>
      <c r="S27" s="82"/>
      <c r="T27" s="82"/>
    </row>
    <row r="28" spans="1:20" s="85" customFormat="1">
      <c r="A28" s="82"/>
      <c r="B28" s="82"/>
      <c r="C28" s="82"/>
      <c r="D28" s="82"/>
      <c r="E28" s="82"/>
      <c r="F28" s="82"/>
      <c r="I28" s="85" t="str">
        <v>Orange</v>
      </c>
      <c r="O28" s="82"/>
      <c r="P28" s="82"/>
      <c r="Q28" s="82"/>
      <c r="R28" s="82"/>
      <c r="S28" s="82"/>
      <c r="T28" s="82"/>
    </row>
    <row r="29" spans="1:20">
      <c r="I29" t="str">
        <v>Banana</v>
      </c>
    </row>
    <row r="30" spans="1:20">
      <c r="I30" t="str">
        <v>Mango</v>
      </c>
    </row>
    <row r="31" spans="1:20">
      <c r="I31" t="str">
        <v>Grape</v>
      </c>
    </row>
  </sheetData>
  <autoFilter ref="O2:T12" xr:uid="{C6FB9444-FD19-4BF6-82DA-445D6CF32EB0}"/>
  <mergeCells count="4">
    <mergeCell ref="A1:F1"/>
    <mergeCell ref="H1:M1"/>
    <mergeCell ref="O1:S1"/>
    <mergeCell ref="I16:O1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4B5886-0A82-45D6-95BE-84E5EA4E6E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Intro</vt:lpstr>
      <vt:lpstr>Intro (Home Tab)</vt:lpstr>
      <vt:lpstr>Conditional Formatting</vt:lpstr>
      <vt:lpstr>Basic Aggregation</vt:lpstr>
      <vt:lpstr>SumIF</vt:lpstr>
      <vt:lpstr>SumIFs</vt:lpstr>
      <vt:lpstr>Countif</vt:lpstr>
      <vt:lpstr>Countifs</vt:lpstr>
      <vt:lpstr>Dynamic Ranges</vt:lpstr>
      <vt:lpstr>Data Validation</vt:lpstr>
      <vt:lpstr>Summary</vt:lpstr>
      <vt:lpstr>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Tahseen</dc:creator>
  <cp:lastModifiedBy>David Dawoud</cp:lastModifiedBy>
  <cp:lastPrinted>2026-08-03T08:49:26Z</cp:lastPrinted>
  <dcterms:created xsi:type="dcterms:W3CDTF">2024-05-31T09:49:19Z</dcterms:created>
  <dcterms:modified xsi:type="dcterms:W3CDTF">2026-08-03T08:53:12Z</dcterms:modified>
</cp:coreProperties>
</file>
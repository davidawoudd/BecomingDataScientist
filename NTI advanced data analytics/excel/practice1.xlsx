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"/>
    </mc:Choice>
  </mc:AlternateContent>
  <xr:revisionPtr revIDLastSave="0" documentId="13_ncr:1_{34668EF4-AD7C-4A5B-9732-8BDFC0E12F3C}" xr6:coauthVersionLast="47" xr6:coauthVersionMax="47" xr10:uidLastSave="{00000000-0000-0000-0000-000000000000}"/>
  <bookViews>
    <workbookView xWindow="-108" yWindow="-108" windowWidth="23256" windowHeight="12456" xr2:uid="{F64A0806-68CB-4184-A8D5-EEEB24983086}"/>
  </bookViews>
  <sheets>
    <sheet name="Practice" sheetId="1" r:id="rId1"/>
  </sheets>
  <definedNames>
    <definedName name="_xlnm._FilterDatabase" localSheetId="0" hidden="1">Practice!$O$2:$T$12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 a="1"/>
  <c r="I27" i="1" s="1"/>
  <c r="E3" i="1"/>
  <c r="T3" i="1"/>
  <c r="E4" i="1"/>
  <c r="T4" i="1"/>
  <c r="E5" i="1"/>
  <c r="M19" i="1" s="1"/>
  <c r="T5" i="1"/>
  <c r="P18" i="1" s="1" a="1"/>
  <c r="P18" i="1" s="1"/>
  <c r="E6" i="1"/>
  <c r="T6" i="1"/>
  <c r="E7" i="1"/>
  <c r="T7" i="1"/>
  <c r="E8" i="1"/>
  <c r="T8" i="1"/>
  <c r="E9" i="1"/>
  <c r="T9" i="1"/>
  <c r="E10" i="1"/>
  <c r="T10" i="1"/>
  <c r="E11" i="1"/>
  <c r="T11" i="1"/>
  <c r="E12" i="1"/>
  <c r="T12" i="1"/>
  <c r="E13" i="1"/>
  <c r="E14" i="1"/>
  <c r="E15" i="1"/>
  <c r="E16" i="1"/>
  <c r="E17" i="1"/>
  <c r="E18" i="1"/>
  <c r="J18" i="1"/>
  <c r="E19" i="1"/>
  <c r="J19" i="1"/>
  <c r="E20" i="1"/>
  <c r="J20" i="1"/>
  <c r="E21" i="1"/>
  <c r="E22" i="1"/>
  <c r="J22" i="1"/>
  <c r="J23" i="1"/>
  <c r="J24" i="1"/>
  <c r="J21" i="1" l="1"/>
  <c r="M18" i="1"/>
  <c r="P19" i="1" a="1"/>
  <c r="P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<sst xmlns="http://schemas.openxmlformats.org/spreadsheetml/2006/main" count="120" uniqueCount="81">
  <si>
    <t>Lowest Stock Quantity</t>
  </si>
  <si>
    <t>Highest Stock Quantity</t>
  </si>
  <si>
    <t>Average Salary</t>
  </si>
  <si>
    <t>20/01/2024</t>
  </si>
  <si>
    <t>Grape</t>
  </si>
  <si>
    <t>Number of Products Sold</t>
  </si>
  <si>
    <t>19/01/2024</t>
  </si>
  <si>
    <t>Mango</t>
  </si>
  <si>
    <t>Total Revenue for Each Order</t>
  </si>
  <si>
    <t>18/01/2024</t>
  </si>
  <si>
    <t>Banana</t>
  </si>
  <si>
    <t>Count of Orders where Quantity is greater than 10 and Sales are less than 2000</t>
  </si>
  <si>
    <t>Sum of Sales where Quantity is greater than 10 and Price per Unit is less than 2</t>
  </si>
  <si>
    <t>Average Price per Unit in Sales</t>
  </si>
  <si>
    <t>17/01/2024</t>
  </si>
  <si>
    <t>Orange</t>
  </si>
  <si>
    <t>Count of Products where Sales are greater than 1500</t>
  </si>
  <si>
    <t>Sum of Sales where Quantity is greater than 15</t>
  </si>
  <si>
    <t>Diff between Maximum and Minimum QTY</t>
  </si>
  <si>
    <t>16/01/2024</t>
  </si>
  <si>
    <t>Apple</t>
  </si>
  <si>
    <t>15/01/2024</t>
  </si>
  <si>
    <t>14/01/2024</t>
  </si>
  <si>
    <t>13/01/2024</t>
  </si>
  <si>
    <t>Warehouse J</t>
  </si>
  <si>
    <t>Sales</t>
  </si>
  <si>
    <t>Zaki</t>
  </si>
  <si>
    <t>Nour</t>
  </si>
  <si>
    <t>E010</t>
  </si>
  <si>
    <t>Warehouse I</t>
  </si>
  <si>
    <t>IT</t>
  </si>
  <si>
    <t>Adel</t>
  </si>
  <si>
    <t>Tarek</t>
  </si>
  <si>
    <t>E009</t>
  </si>
  <si>
    <t>Warehouse H</t>
  </si>
  <si>
    <t>HR</t>
  </si>
  <si>
    <t>Omar</t>
  </si>
  <si>
    <t>Hala</t>
  </si>
  <si>
    <t>E008</t>
  </si>
  <si>
    <t>Warehouse G</t>
  </si>
  <si>
    <t>Youssef</t>
  </si>
  <si>
    <t>E007</t>
  </si>
  <si>
    <t>Warehouse F</t>
  </si>
  <si>
    <t>Salem</t>
  </si>
  <si>
    <t>Laila</t>
  </si>
  <si>
    <t>E006</t>
  </si>
  <si>
    <t>Warehouse E</t>
  </si>
  <si>
    <t>Ismail</t>
  </si>
  <si>
    <t>Nader</t>
  </si>
  <si>
    <t>E005</t>
  </si>
  <si>
    <t>Warehouse D</t>
  </si>
  <si>
    <t>Nabil</t>
  </si>
  <si>
    <t>Sara</t>
  </si>
  <si>
    <t>E004</t>
  </si>
  <si>
    <t>Warehouse C</t>
  </si>
  <si>
    <t>Karim</t>
  </si>
  <si>
    <t>E003</t>
  </si>
  <si>
    <t>Warehouse B</t>
  </si>
  <si>
    <t>Saeed</t>
  </si>
  <si>
    <t>Mona</t>
  </si>
  <si>
    <t>E002</t>
  </si>
  <si>
    <t>Warehouse A</t>
  </si>
  <si>
    <t>Hassan</t>
  </si>
  <si>
    <t>Ahmed</t>
  </si>
  <si>
    <t>E001</t>
  </si>
  <si>
    <t>Price per Unit</t>
  </si>
  <si>
    <t>Reorder Level</t>
  </si>
  <si>
    <t>Stock Quantity</t>
  </si>
  <si>
    <t>Warehouse</t>
  </si>
  <si>
    <t>Product</t>
  </si>
  <si>
    <t>Salary</t>
  </si>
  <si>
    <t>Hours Worked</t>
  </si>
  <si>
    <t>Department</t>
  </si>
  <si>
    <t>Last Name</t>
  </si>
  <si>
    <t>First Name</t>
  </si>
  <si>
    <t>Employee ID</t>
  </si>
  <si>
    <t>Date</t>
  </si>
  <si>
    <t>Quantity</t>
  </si>
  <si>
    <t>Order ID</t>
  </si>
  <si>
    <t>Inventory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</si>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</sst>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69C1-5D80-4087-897F-94294BB89B10}">
  <dimension ref="A1:T31"/>
  <sheetViews>
    <sheetView tabSelected="1" topLeftCell="A5" zoomScale="68" zoomScaleNormal="57" workbookViewId="0">
      <selection activeCell="I32" sqref="I27:I32"/>
    </sheetView>
  </sheetViews>
  <sheetFormatPr defaultRowHeight="14.4" x14ac:dyDescent="0.3"/>
  <cols>
    <col min="1" max="1" width="11" style="1" customWidth="1"/>
    <col min="2" max="2" width="7.44140625" style="1" bestFit="1" customWidth="1"/>
    <col min="3" max="3" width="14.109375" style="1" bestFit="1" customWidth="1"/>
    <col min="4" max="4" width="18" style="1" bestFit="1" customWidth="1"/>
    <col min="5" max="5" width="12" style="1" customWidth="1"/>
    <col min="6" max="6" width="10.44140625" style="1" bestFit="1" customWidth="1"/>
    <col min="7" max="7" width="6.44140625" customWidth="1"/>
    <col min="8" max="8" width="11.77734375" bestFit="1" customWidth="1"/>
    <col min="9" max="9" width="27.77734375" bestFit="1" customWidth="1"/>
    <col min="10" max="11" width="24.44140625" bestFit="1" customWidth="1"/>
    <col min="12" max="12" width="18" customWidth="1"/>
    <col min="13" max="13" width="46.88671875" customWidth="1"/>
    <col min="14" max="14" width="22.77734375" customWidth="1"/>
    <col min="15" max="15" width="23.44140625" style="1" customWidth="1"/>
    <col min="16" max="16" width="31.21875" style="1" customWidth="1"/>
    <col min="17" max="17" width="19.21875" style="1" customWidth="1"/>
    <col min="18" max="18" width="12.21875" style="1" bestFit="1" customWidth="1"/>
    <col min="19" max="19" width="12" style="1" bestFit="1" customWidth="1"/>
    <col min="20" max="20" width="8.88671875" style="1"/>
  </cols>
  <sheetData>
    <row r="1" spans="1:20" x14ac:dyDescent="0.3">
      <c r="A1" s="19" t="s">
        <v>25</v>
      </c>
      <c r="B1" s="19"/>
      <c r="C1" s="19"/>
      <c r="D1" s="19"/>
      <c r="E1" s="19"/>
      <c r="F1" s="19"/>
      <c r="H1" s="19" t="s">
        <v>80</v>
      </c>
      <c r="I1" s="19"/>
      <c r="J1" s="19"/>
      <c r="K1" s="19"/>
      <c r="L1" s="19"/>
      <c r="M1" s="19"/>
      <c r="O1" s="19" t="s">
        <v>79</v>
      </c>
      <c r="P1" s="19"/>
      <c r="Q1" s="19"/>
      <c r="R1" s="19"/>
      <c r="S1" s="19"/>
    </row>
    <row r="2" spans="1:20" x14ac:dyDescent="0.3">
      <c r="A2" s="18" t="s">
        <v>78</v>
      </c>
      <c r="B2" s="18" t="s">
        <v>69</v>
      </c>
      <c r="C2" s="18" t="s">
        <v>77</v>
      </c>
      <c r="D2" s="18" t="s">
        <v>65</v>
      </c>
      <c r="E2" s="18" t="s">
        <v>25</v>
      </c>
      <c r="F2" s="18" t="s">
        <v>76</v>
      </c>
      <c r="H2" s="18" t="s">
        <v>75</v>
      </c>
      <c r="I2" s="18" t="s">
        <v>74</v>
      </c>
      <c r="J2" s="18" t="s">
        <v>73</v>
      </c>
      <c r="K2" s="18" t="s">
        <v>72</v>
      </c>
      <c r="L2" s="18" t="s">
        <v>71</v>
      </c>
      <c r="M2" s="18" t="s">
        <v>70</v>
      </c>
      <c r="O2" s="18" t="s">
        <v>69</v>
      </c>
      <c r="P2" s="18" t="s">
        <v>68</v>
      </c>
      <c r="Q2" s="18" t="s">
        <v>67</v>
      </c>
      <c r="R2" s="18" t="s">
        <v>66</v>
      </c>
      <c r="S2" s="18" t="s">
        <v>65</v>
      </c>
      <c r="T2" s="1" t="s">
        <v>25</v>
      </c>
    </row>
    <row r="3" spans="1:20" x14ac:dyDescent="0.3">
      <c r="A3" s="9">
        <v>1001</v>
      </c>
      <c r="B3" s="9" t="s">
        <v>20</v>
      </c>
      <c r="C3" s="9">
        <v>20</v>
      </c>
      <c r="D3" s="9">
        <v>1.5</v>
      </c>
      <c r="E3" s="9">
        <f>D3*C3</f>
        <v>30</v>
      </c>
      <c r="F3" s="16">
        <v>45292</v>
      </c>
      <c r="H3" s="9" t="s">
        <v>64</v>
      </c>
      <c r="I3" s="9" t="s">
        <v>63</v>
      </c>
      <c r="J3" s="9" t="s">
        <v>62</v>
      </c>
      <c r="K3" s="9" t="s">
        <v>25</v>
      </c>
      <c r="L3" s="17">
        <v>160</v>
      </c>
      <c r="M3" s="17">
        <v>3000</v>
      </c>
      <c r="O3" s="9" t="s">
        <v>20</v>
      </c>
      <c r="P3" s="9" t="s">
        <v>61</v>
      </c>
      <c r="Q3" s="9">
        <v>100</v>
      </c>
      <c r="R3" s="9">
        <v>20</v>
      </c>
      <c r="S3" s="9">
        <v>1.5</v>
      </c>
      <c r="T3" s="1">
        <f>R3*Q3</f>
        <v>2000</v>
      </c>
    </row>
    <row r="4" spans="1:20" x14ac:dyDescent="0.3">
      <c r="A4" s="9">
        <v>1002</v>
      </c>
      <c r="B4" s="9" t="s">
        <v>15</v>
      </c>
      <c r="C4" s="9">
        <v>15</v>
      </c>
      <c r="D4" s="9">
        <v>2</v>
      </c>
      <c r="E4" s="9">
        <f>D4*C4</f>
        <v>30</v>
      </c>
      <c r="F4" s="16">
        <v>45323</v>
      </c>
      <c r="H4" s="9" t="s">
        <v>60</v>
      </c>
      <c r="I4" s="9" t="s">
        <v>59</v>
      </c>
      <c r="J4" s="9" t="s">
        <v>58</v>
      </c>
      <c r="K4" s="9" t="s">
        <v>35</v>
      </c>
      <c r="L4" s="17">
        <v>140</v>
      </c>
      <c r="M4" s="17">
        <v>2800</v>
      </c>
      <c r="O4" s="9" t="s">
        <v>15</v>
      </c>
      <c r="P4" s="9" t="s">
        <v>57</v>
      </c>
      <c r="Q4" s="9">
        <v>150</v>
      </c>
      <c r="R4" s="9">
        <v>30</v>
      </c>
      <c r="S4" s="9">
        <v>2</v>
      </c>
      <c r="T4" s="1">
        <f>R4*Q4</f>
        <v>4500</v>
      </c>
    </row>
    <row r="5" spans="1:20" x14ac:dyDescent="0.3">
      <c r="A5" s="9">
        <v>1003</v>
      </c>
      <c r="B5" s="9" t="s">
        <v>10</v>
      </c>
      <c r="C5" s="9">
        <v>30</v>
      </c>
      <c r="D5" s="9">
        <v>1.2</v>
      </c>
      <c r="E5" s="9">
        <f>D5*C5</f>
        <v>36</v>
      </c>
      <c r="F5" s="16">
        <v>45352</v>
      </c>
      <c r="H5" s="9" t="s">
        <v>56</v>
      </c>
      <c r="I5" s="9" t="s">
        <v>55</v>
      </c>
      <c r="J5" s="9" t="s">
        <v>40</v>
      </c>
      <c r="K5" s="9" t="s">
        <v>30</v>
      </c>
      <c r="L5" s="17">
        <v>170</v>
      </c>
      <c r="M5" s="17">
        <v>3200</v>
      </c>
      <c r="O5" s="9" t="s">
        <v>10</v>
      </c>
      <c r="P5" s="9" t="s">
        <v>54</v>
      </c>
      <c r="Q5" s="9">
        <v>200</v>
      </c>
      <c r="R5" s="9">
        <v>50</v>
      </c>
      <c r="S5" s="9">
        <v>1.2</v>
      </c>
      <c r="T5" s="1">
        <f>R5*Q5</f>
        <v>10000</v>
      </c>
    </row>
    <row r="6" spans="1:20" x14ac:dyDescent="0.3">
      <c r="A6" s="9">
        <v>1004</v>
      </c>
      <c r="B6" s="9" t="s">
        <v>7</v>
      </c>
      <c r="C6" s="9">
        <v>10</v>
      </c>
      <c r="D6" s="9">
        <v>3</v>
      </c>
      <c r="E6" s="9">
        <f>D6*C6</f>
        <v>30</v>
      </c>
      <c r="F6" s="16">
        <v>45383</v>
      </c>
      <c r="H6" s="9" t="s">
        <v>53</v>
      </c>
      <c r="I6" s="9" t="s">
        <v>52</v>
      </c>
      <c r="J6" s="9" t="s">
        <v>51</v>
      </c>
      <c r="K6" s="9" t="s">
        <v>25</v>
      </c>
      <c r="L6" s="17">
        <v>150</v>
      </c>
      <c r="M6" s="17">
        <v>2900</v>
      </c>
      <c r="O6" s="9" t="s">
        <v>7</v>
      </c>
      <c r="P6" s="9" t="s">
        <v>50</v>
      </c>
      <c r="Q6" s="9">
        <v>80</v>
      </c>
      <c r="R6" s="9">
        <v>10</v>
      </c>
      <c r="S6" s="9">
        <v>3</v>
      </c>
      <c r="T6" s="1">
        <f>R6*Q6</f>
        <v>800</v>
      </c>
    </row>
    <row r="7" spans="1:20" x14ac:dyDescent="0.3">
      <c r="A7" s="9">
        <v>1005</v>
      </c>
      <c r="B7" s="9" t="s">
        <v>4</v>
      </c>
      <c r="C7" s="9">
        <v>25</v>
      </c>
      <c r="D7" s="9">
        <v>2.5</v>
      </c>
      <c r="E7" s="9">
        <f>D7*C7</f>
        <v>62.5</v>
      </c>
      <c r="F7" s="16">
        <v>45413</v>
      </c>
      <c r="H7" s="9" t="s">
        <v>49</v>
      </c>
      <c r="I7" s="9" t="s">
        <v>48</v>
      </c>
      <c r="J7" s="9" t="s">
        <v>47</v>
      </c>
      <c r="K7" s="9" t="s">
        <v>35</v>
      </c>
      <c r="L7" s="17">
        <v>120</v>
      </c>
      <c r="M7" s="17">
        <v>2600</v>
      </c>
      <c r="O7" s="9" t="s">
        <v>4</v>
      </c>
      <c r="P7" s="9" t="s">
        <v>46</v>
      </c>
      <c r="Q7" s="9">
        <v>120</v>
      </c>
      <c r="R7" s="9">
        <v>25</v>
      </c>
      <c r="S7" s="9">
        <v>2.5</v>
      </c>
      <c r="T7" s="1">
        <f>R7*Q7</f>
        <v>3000</v>
      </c>
    </row>
    <row r="8" spans="1:20" x14ac:dyDescent="0.3">
      <c r="A8" s="9">
        <v>1006</v>
      </c>
      <c r="B8" s="9" t="s">
        <v>20</v>
      </c>
      <c r="C8" s="9">
        <v>10</v>
      </c>
      <c r="D8" s="9">
        <v>1.5</v>
      </c>
      <c r="E8" s="9">
        <f>D8*C8</f>
        <v>15</v>
      </c>
      <c r="F8" s="16">
        <v>45444</v>
      </c>
      <c r="H8" s="9" t="s">
        <v>45</v>
      </c>
      <c r="I8" s="9" t="s">
        <v>44</v>
      </c>
      <c r="J8" s="9" t="s">
        <v>43</v>
      </c>
      <c r="K8" s="9" t="s">
        <v>30</v>
      </c>
      <c r="L8" s="17">
        <v>180</v>
      </c>
      <c r="M8" s="17">
        <v>3300</v>
      </c>
      <c r="O8" s="9" t="s">
        <v>20</v>
      </c>
      <c r="P8" s="9" t="s">
        <v>42</v>
      </c>
      <c r="Q8" s="9">
        <v>50</v>
      </c>
      <c r="R8" s="9">
        <v>15</v>
      </c>
      <c r="S8" s="9">
        <v>1.5</v>
      </c>
      <c r="T8" s="1">
        <f>R8*Q8</f>
        <v>750</v>
      </c>
    </row>
    <row r="9" spans="1:20" x14ac:dyDescent="0.3">
      <c r="A9" s="9">
        <v>1007</v>
      </c>
      <c r="B9" s="9" t="s">
        <v>15</v>
      </c>
      <c r="C9" s="9">
        <v>5</v>
      </c>
      <c r="D9" s="9">
        <v>2</v>
      </c>
      <c r="E9" s="9">
        <f>D9*C9</f>
        <v>10</v>
      </c>
      <c r="F9" s="16">
        <v>45474</v>
      </c>
      <c r="H9" s="9" t="s">
        <v>41</v>
      </c>
      <c r="I9" s="9" t="s">
        <v>40</v>
      </c>
      <c r="J9" s="9" t="s">
        <v>32</v>
      </c>
      <c r="K9" s="9" t="s">
        <v>25</v>
      </c>
      <c r="L9" s="17">
        <v>165</v>
      </c>
      <c r="M9" s="17">
        <v>3100</v>
      </c>
      <c r="O9" s="9" t="s">
        <v>15</v>
      </c>
      <c r="P9" s="9" t="s">
        <v>39</v>
      </c>
      <c r="Q9" s="9">
        <v>70</v>
      </c>
      <c r="R9" s="9">
        <v>20</v>
      </c>
      <c r="S9" s="9">
        <v>2</v>
      </c>
      <c r="T9" s="1">
        <f>R9*Q9</f>
        <v>1400</v>
      </c>
    </row>
    <row r="10" spans="1:20" x14ac:dyDescent="0.3">
      <c r="A10" s="9">
        <v>1008</v>
      </c>
      <c r="B10" s="9" t="s">
        <v>10</v>
      </c>
      <c r="C10" s="9">
        <v>20</v>
      </c>
      <c r="D10" s="9">
        <v>1.2</v>
      </c>
      <c r="E10" s="9">
        <f>D10*C10</f>
        <v>24</v>
      </c>
      <c r="F10" s="16">
        <v>45505</v>
      </c>
      <c r="H10" s="9" t="s">
        <v>38</v>
      </c>
      <c r="I10" s="9" t="s">
        <v>37</v>
      </c>
      <c r="J10" s="9" t="s">
        <v>36</v>
      </c>
      <c r="K10" s="9" t="s">
        <v>35</v>
      </c>
      <c r="L10" s="17">
        <v>155</v>
      </c>
      <c r="M10" s="17">
        <v>2700</v>
      </c>
      <c r="O10" s="9" t="s">
        <v>10</v>
      </c>
      <c r="P10" s="9" t="s">
        <v>34</v>
      </c>
      <c r="Q10" s="9">
        <v>90</v>
      </c>
      <c r="R10" s="9">
        <v>30</v>
      </c>
      <c r="S10" s="9">
        <v>1.2</v>
      </c>
      <c r="T10" s="1">
        <f>R10*Q10</f>
        <v>2700</v>
      </c>
    </row>
    <row r="11" spans="1:20" x14ac:dyDescent="0.3">
      <c r="A11" s="9">
        <v>1009</v>
      </c>
      <c r="B11" s="9" t="s">
        <v>7</v>
      </c>
      <c r="C11" s="9">
        <v>15</v>
      </c>
      <c r="D11" s="9">
        <v>3</v>
      </c>
      <c r="E11" s="9">
        <f>D11*C11</f>
        <v>45</v>
      </c>
      <c r="F11" s="16">
        <v>45536</v>
      </c>
      <c r="H11" s="9" t="s">
        <v>33</v>
      </c>
      <c r="I11" s="9" t="s">
        <v>32</v>
      </c>
      <c r="J11" s="9" t="s">
        <v>31</v>
      </c>
      <c r="K11" s="9" t="s">
        <v>30</v>
      </c>
      <c r="L11" s="17">
        <v>145</v>
      </c>
      <c r="M11" s="17">
        <v>3000</v>
      </c>
      <c r="O11" s="9" t="s">
        <v>7</v>
      </c>
      <c r="P11" s="9" t="s">
        <v>29</v>
      </c>
      <c r="Q11" s="9">
        <v>40</v>
      </c>
      <c r="R11" s="9">
        <v>10</v>
      </c>
      <c r="S11" s="9">
        <v>3</v>
      </c>
      <c r="T11" s="1">
        <f>R11*Q11</f>
        <v>400</v>
      </c>
    </row>
    <row r="12" spans="1:20" x14ac:dyDescent="0.3">
      <c r="A12" s="9">
        <v>1010</v>
      </c>
      <c r="B12" s="9" t="s">
        <v>4</v>
      </c>
      <c r="C12" s="9">
        <v>30</v>
      </c>
      <c r="D12" s="9">
        <v>2.5</v>
      </c>
      <c r="E12" s="9">
        <f>D12*C12</f>
        <v>75</v>
      </c>
      <c r="F12" s="16">
        <v>45566</v>
      </c>
      <c r="H12" s="9" t="s">
        <v>28</v>
      </c>
      <c r="I12" s="9" t="s">
        <v>27</v>
      </c>
      <c r="J12" s="9" t="s">
        <v>26</v>
      </c>
      <c r="K12" s="9" t="s">
        <v>25</v>
      </c>
      <c r="L12" s="17">
        <v>160</v>
      </c>
      <c r="M12" s="17">
        <v>3200</v>
      </c>
      <c r="O12" s="9" t="s">
        <v>4</v>
      </c>
      <c r="P12" s="9" t="s">
        <v>24</v>
      </c>
      <c r="Q12" s="9">
        <v>60</v>
      </c>
      <c r="R12" s="9">
        <v>20</v>
      </c>
      <c r="S12" s="9">
        <v>2.5</v>
      </c>
      <c r="T12" s="1">
        <f>R12*Q12</f>
        <v>1200</v>
      </c>
    </row>
    <row r="13" spans="1:20" x14ac:dyDescent="0.3">
      <c r="A13" s="9">
        <v>1011</v>
      </c>
      <c r="B13" s="9" t="s">
        <v>20</v>
      </c>
      <c r="C13" s="9">
        <v>25</v>
      </c>
      <c r="D13" s="9">
        <v>1.5</v>
      </c>
      <c r="E13" s="9">
        <f>D13*C13</f>
        <v>37.5</v>
      </c>
      <c r="F13" s="16">
        <v>45597</v>
      </c>
    </row>
    <row r="14" spans="1:20" x14ac:dyDescent="0.3">
      <c r="A14" s="9">
        <v>1012</v>
      </c>
      <c r="B14" s="9" t="s">
        <v>15</v>
      </c>
      <c r="C14" s="9">
        <v>20</v>
      </c>
      <c r="D14" s="9">
        <v>2</v>
      </c>
      <c r="E14" s="9">
        <f>D14*C14</f>
        <v>40</v>
      </c>
      <c r="F14" s="16">
        <v>45627</v>
      </c>
    </row>
    <row r="15" spans="1:20" x14ac:dyDescent="0.3">
      <c r="A15" s="8">
        <v>1013</v>
      </c>
      <c r="B15" s="8" t="s">
        <v>10</v>
      </c>
      <c r="C15" s="8">
        <v>15</v>
      </c>
      <c r="D15" s="8">
        <v>1.2</v>
      </c>
      <c r="E15" s="9">
        <f>D15*C15</f>
        <v>18</v>
      </c>
      <c r="F15" s="8" t="s">
        <v>23</v>
      </c>
    </row>
    <row r="16" spans="1:20" x14ac:dyDescent="0.3">
      <c r="A16" s="8">
        <v>1014</v>
      </c>
      <c r="B16" s="8" t="s">
        <v>7</v>
      </c>
      <c r="C16" s="8">
        <v>12</v>
      </c>
      <c r="D16" s="8">
        <v>3</v>
      </c>
      <c r="E16" s="9">
        <f>D16*C16</f>
        <v>36</v>
      </c>
      <c r="F16" s="8" t="s">
        <v>22</v>
      </c>
      <c r="I16" s="15"/>
      <c r="J16" s="15"/>
      <c r="K16" s="15"/>
      <c r="L16" s="15"/>
      <c r="M16" s="15"/>
      <c r="N16" s="15"/>
      <c r="O16" s="15"/>
    </row>
    <row r="17" spans="1:20" x14ac:dyDescent="0.3">
      <c r="A17" s="8">
        <v>1015</v>
      </c>
      <c r="B17" s="8" t="s">
        <v>4</v>
      </c>
      <c r="C17" s="8">
        <v>8</v>
      </c>
      <c r="D17" s="8">
        <v>2.5</v>
      </c>
      <c r="E17" s="9">
        <f>D17*C17</f>
        <v>20</v>
      </c>
      <c r="F17" s="8" t="s">
        <v>21</v>
      </c>
    </row>
    <row r="18" spans="1:20" s="2" customFormat="1" ht="43.2" x14ac:dyDescent="0.3">
      <c r="A18" s="8">
        <v>1016</v>
      </c>
      <c r="B18" s="8" t="s">
        <v>20</v>
      </c>
      <c r="C18" s="8">
        <v>30</v>
      </c>
      <c r="D18" s="8">
        <v>1.5</v>
      </c>
      <c r="E18" s="9">
        <f>D18*C18</f>
        <v>45</v>
      </c>
      <c r="F18" s="8" t="s">
        <v>19</v>
      </c>
      <c r="I18" s="14" t="s">
        <v>18</v>
      </c>
      <c r="J18" s="7">
        <f>MAX(C3:C22)-MIN(C3:C22)</f>
        <v>25</v>
      </c>
      <c r="L18" s="13" t="s">
        <v>17</v>
      </c>
      <c r="M18" s="12">
        <f>SUMIF(C3:C22,"&gt;15",E3:E22)</f>
        <v>430</v>
      </c>
      <c r="O18" s="11" t="s">
        <v>16</v>
      </c>
      <c r="P18" s="5" cm="1">
        <f t="array" ref="P18">COUNTA(_xlfn.UNIQUE(_xlfn._xlws.FILTER(O3:O12,T3:T12&gt;1500)))</f>
        <v>4</v>
      </c>
      <c r="R18" s="3"/>
      <c r="S18" s="3"/>
      <c r="T18" s="3"/>
    </row>
    <row r="19" spans="1:20" s="2" customFormat="1" ht="57.6" x14ac:dyDescent="0.3">
      <c r="A19" s="8">
        <v>1017</v>
      </c>
      <c r="B19" s="8" t="s">
        <v>15</v>
      </c>
      <c r="C19" s="8">
        <v>12</v>
      </c>
      <c r="D19" s="8">
        <v>2</v>
      </c>
      <c r="E19" s="9">
        <f>D19*C19</f>
        <v>24</v>
      </c>
      <c r="F19" s="8" t="s">
        <v>14</v>
      </c>
      <c r="I19" s="6" t="s">
        <v>13</v>
      </c>
      <c r="J19" s="5">
        <f>AVERAGE(D3:D22)</f>
        <v>2.04</v>
      </c>
      <c r="L19" s="13" t="s">
        <v>12</v>
      </c>
      <c r="M19" s="12">
        <f>SUMIFS(E3:E22,C3:C22,"&gt;10",D3:D22,"&lt;2")</f>
        <v>220.5</v>
      </c>
      <c r="O19" s="11" t="s">
        <v>11</v>
      </c>
      <c r="P19" s="5" cm="1">
        <f t="array" ref="P19">COUNTA(_xlfn._xlws.FILTER(A3:A22,(C3:C22&gt;10)*(E3:E22&lt;20)))</f>
        <v>1</v>
      </c>
      <c r="R19" s="3"/>
      <c r="S19" s="3"/>
      <c r="T19" s="3"/>
    </row>
    <row r="20" spans="1:20" s="2" customFormat="1" ht="21" x14ac:dyDescent="0.3">
      <c r="A20" s="8">
        <v>1018</v>
      </c>
      <c r="B20" s="8" t="s">
        <v>10</v>
      </c>
      <c r="C20" s="8">
        <v>25</v>
      </c>
      <c r="D20" s="8">
        <v>1.2</v>
      </c>
      <c r="E20" s="9">
        <f>D20*C20</f>
        <v>30</v>
      </c>
      <c r="F20" s="8" t="s">
        <v>9</v>
      </c>
      <c r="I20" s="6" t="s">
        <v>8</v>
      </c>
      <c r="J20" s="5">
        <f>SUM(E3:E22)</f>
        <v>682</v>
      </c>
      <c r="O20" s="3"/>
      <c r="P20" s="3"/>
      <c r="Q20" s="3"/>
      <c r="R20" s="3"/>
      <c r="S20" s="3"/>
      <c r="T20" s="3"/>
    </row>
    <row r="21" spans="1:20" s="2" customFormat="1" ht="21" x14ac:dyDescent="0.3">
      <c r="A21" s="8">
        <v>1019</v>
      </c>
      <c r="B21" s="8" t="s">
        <v>7</v>
      </c>
      <c r="C21" s="8">
        <v>8</v>
      </c>
      <c r="D21" s="8">
        <v>3</v>
      </c>
      <c r="E21" s="9">
        <f>D21*C21</f>
        <v>24</v>
      </c>
      <c r="F21" s="8" t="s">
        <v>6</v>
      </c>
      <c r="I21" s="6" t="s">
        <v>5</v>
      </c>
      <c r="J21" s="5">
        <f>COUNTA(_xlfn.ANCHORARRAY(I27))</f>
        <v>5</v>
      </c>
      <c r="K21" s="10"/>
      <c r="O21" s="3"/>
      <c r="P21" s="3"/>
      <c r="Q21" s="3"/>
      <c r="R21" s="3"/>
      <c r="S21" s="3"/>
      <c r="T21" s="3"/>
    </row>
    <row r="22" spans="1:20" s="2" customFormat="1" ht="21" x14ac:dyDescent="0.3">
      <c r="A22" s="8">
        <v>1020</v>
      </c>
      <c r="B22" s="8" t="s">
        <v>4</v>
      </c>
      <c r="C22" s="8">
        <v>20</v>
      </c>
      <c r="D22" s="8">
        <v>2.5</v>
      </c>
      <c r="E22" s="9">
        <f>D22*C22</f>
        <v>50</v>
      </c>
      <c r="F22" s="8" t="s">
        <v>3</v>
      </c>
      <c r="I22" s="6" t="s">
        <v>2</v>
      </c>
      <c r="J22" s="7">
        <f>AVERAGE(M3:M12)</f>
        <v>2980</v>
      </c>
      <c r="O22" s="3"/>
      <c r="P22" s="3"/>
      <c r="Q22" s="1"/>
      <c r="R22" s="3"/>
      <c r="S22" s="3"/>
      <c r="T22" s="3"/>
    </row>
    <row r="23" spans="1:20" s="2" customFormat="1" ht="21" x14ac:dyDescent="0.3">
      <c r="A23" s="3"/>
      <c r="B23" s="3"/>
      <c r="C23" s="3"/>
      <c r="D23" s="3"/>
      <c r="E23" s="3"/>
      <c r="F23" s="3"/>
      <c r="I23" s="6" t="s">
        <v>1</v>
      </c>
      <c r="J23" s="5">
        <f>MAX(Q3:Q12)</f>
        <v>200</v>
      </c>
      <c r="O23" s="3"/>
      <c r="P23" s="3"/>
      <c r="Q23" s="3"/>
      <c r="R23" s="3"/>
      <c r="S23" s="3"/>
      <c r="T23" s="3"/>
    </row>
    <row r="24" spans="1:20" s="2" customFormat="1" ht="21" x14ac:dyDescent="0.3">
      <c r="A24" s="3"/>
      <c r="B24" s="3"/>
      <c r="C24" s="3"/>
      <c r="D24" s="3"/>
      <c r="E24" s="3"/>
      <c r="F24" s="3"/>
      <c r="I24" s="6" t="s">
        <v>0</v>
      </c>
      <c r="J24" s="5">
        <f>MIN(Q3:Q12)</f>
        <v>40</v>
      </c>
      <c r="O24" s="3"/>
      <c r="P24" s="3"/>
      <c r="Q24" s="3"/>
      <c r="R24" s="3"/>
      <c r="S24" s="3"/>
      <c r="T24" s="3"/>
    </row>
    <row r="25" spans="1:20" s="2" customFormat="1" x14ac:dyDescent="0.3">
      <c r="A25" s="3"/>
      <c r="B25" s="3"/>
      <c r="C25" s="3"/>
      <c r="D25" s="4"/>
      <c r="E25" s="4"/>
      <c r="F25" s="3"/>
      <c r="O25" s="3"/>
      <c r="P25" s="3"/>
      <c r="Q25" s="3"/>
      <c r="R25" s="3"/>
      <c r="S25" s="3"/>
      <c r="T25" s="3"/>
    </row>
    <row r="26" spans="1:20" s="2" customFormat="1" x14ac:dyDescent="0.3">
      <c r="A26" s="3"/>
      <c r="B26" s="3"/>
      <c r="C26" s="3"/>
      <c r="D26" s="3"/>
      <c r="E26" s="3"/>
      <c r="F26" s="3"/>
      <c r="O26" s="3"/>
      <c r="P26" s="3"/>
      <c r="Q26" s="3"/>
      <c r="R26" s="3"/>
      <c r="S26" s="3"/>
      <c r="T26" s="3"/>
    </row>
    <row r="27" spans="1:20" s="2" customFormat="1" ht="39" customHeight="1" x14ac:dyDescent="0.3">
      <c r="A27" s="3"/>
      <c r="B27" s="3"/>
      <c r="C27" s="3"/>
      <c r="D27" s="3"/>
      <c r="E27" s="3"/>
      <c r="F27" s="3"/>
      <c r="I27" s="2" t="str" cm="1">
        <f t="array" ref="I27:I31">_xlfn.UNIQUE(B3:B22)</f>
        <v>Apple</v>
      </c>
      <c r="O27" s="3"/>
      <c r="P27" s="3"/>
      <c r="Q27" s="3"/>
      <c r="R27" s="3"/>
      <c r="S27" s="3"/>
      <c r="T27" s="3"/>
    </row>
    <row r="28" spans="1:20" s="2" customFormat="1" x14ac:dyDescent="0.3">
      <c r="A28" s="3"/>
      <c r="B28" s="3"/>
      <c r="C28" s="3"/>
      <c r="D28" s="3"/>
      <c r="E28" s="3"/>
      <c r="F28" s="3"/>
      <c r="I28" s="2" t="str">
        <v>Orange</v>
      </c>
      <c r="O28" s="3"/>
      <c r="P28" s="3"/>
      <c r="Q28" s="3"/>
      <c r="R28" s="3"/>
      <c r="S28" s="3"/>
      <c r="T28" s="3"/>
    </row>
    <row r="29" spans="1:20" x14ac:dyDescent="0.3">
      <c r="I29" t="str">
        <v>Banana</v>
      </c>
    </row>
    <row r="30" spans="1:20" x14ac:dyDescent="0.3">
      <c r="I30" t="str">
        <v>Mango</v>
      </c>
    </row>
    <row r="31" spans="1:20" x14ac:dyDescent="0.3">
      <c r="I31" t="str">
        <v>Grape</v>
      </c>
    </row>
  </sheetData>
  <autoFilter ref="O2:T12" xr:uid="{C6FB9444-FD19-4BF6-82DA-445D6CF32EB0}"/>
  <mergeCells count="4">
    <mergeCell ref="A1:F1"/>
    <mergeCell ref="H1:M1"/>
    <mergeCell ref="O1:S1"/>
    <mergeCell ref="I16:O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Dawoud</dc:creator>
  <cp:lastModifiedBy>David Dawoud</cp:lastModifiedBy>
  <dcterms:created xsi:type="dcterms:W3CDTF">2026-08-03T08:53:26Z</dcterms:created>
  <dcterms:modified xsi:type="dcterms:W3CDTF">2026-08-03T08:54:03Z</dcterms:modified>
</cp:coreProperties>
</file>